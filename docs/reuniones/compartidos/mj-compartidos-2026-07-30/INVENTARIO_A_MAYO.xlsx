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mahuexport-my.sharepoint.com/personal/mjesus_rodriguez_almahuexport_cl/Documents/Escritorio/REVISION IVA EXPORTADOR/MAYO/"/>
    </mc:Choice>
  </mc:AlternateContent>
  <xr:revisionPtr revIDLastSave="32" documentId="8_{099004E4-E1C1-4BEE-8911-982954918C24}" xr6:coauthVersionLast="47" xr6:coauthVersionMax="47" xr10:uidLastSave="{9B741208-10E8-4AFE-ABE4-3EC1C1DFB68B}"/>
  <bookViews>
    <workbookView xWindow="-28920" yWindow="840" windowWidth="29040" windowHeight="15720" activeTab="2" xr2:uid="{88F5963F-FF61-42C0-91A0-0404727B6D56}"/>
  </bookViews>
  <sheets>
    <sheet name="Analisis Inventario" sheetId="4" r:id="rId1"/>
    <sheet name="VENTA" sheetId="1" r:id="rId2"/>
    <sheet name="COMPRA" sheetId="2" r:id="rId3"/>
  </sheets>
  <externalReferences>
    <externalReference r:id="rId4"/>
  </externalReferences>
  <definedNames>
    <definedName name="_xlnm._FilterDatabase" localSheetId="2" hidden="1">COMPRA!$A$1:$Z$116</definedName>
    <definedName name="_xlnm._FilterDatabase" localSheetId="1" hidden="1">VENTA!$A$1:$CC$116</definedName>
  </definedNames>
  <calcPr calcId="191029"/>
  <pivotCaches>
    <pivotCache cacheId="19" r:id="rId5"/>
    <pivotCache cacheId="25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D2" i="1" l="1"/>
  <c r="CD3" i="1"/>
  <c r="CD4" i="1"/>
  <c r="CD5" i="1"/>
  <c r="CD6" i="1"/>
  <c r="CD7" i="1"/>
  <c r="CD8" i="1"/>
  <c r="CD9" i="1"/>
  <c r="CD10" i="1"/>
  <c r="CD11" i="1"/>
  <c r="CD12" i="1"/>
  <c r="CD13" i="1"/>
  <c r="CD14" i="1"/>
  <c r="CD15" i="1"/>
  <c r="CD16" i="1"/>
  <c r="CD17" i="1"/>
  <c r="CD18" i="1"/>
  <c r="CD19" i="1"/>
  <c r="CD20" i="1"/>
  <c r="CD21" i="1"/>
  <c r="CD22" i="1"/>
  <c r="CD23" i="1"/>
  <c r="CD24" i="1"/>
  <c r="CD25" i="1"/>
  <c r="CD26" i="1"/>
  <c r="CD27" i="1"/>
  <c r="CD28" i="1"/>
  <c r="CD29" i="1"/>
  <c r="CD30" i="1"/>
  <c r="CD31" i="1"/>
  <c r="CD32" i="1"/>
  <c r="CD33" i="1"/>
  <c r="CD34" i="1"/>
  <c r="CD35" i="1"/>
  <c r="CD36" i="1"/>
  <c r="CD37" i="1"/>
  <c r="CD38" i="1"/>
  <c r="CD39" i="1"/>
  <c r="CD40" i="1"/>
  <c r="CD41" i="1"/>
  <c r="CD42" i="1"/>
  <c r="CD43" i="1"/>
  <c r="CD44" i="1"/>
  <c r="CD45" i="1"/>
  <c r="CD46" i="1"/>
  <c r="CD47" i="1"/>
  <c r="CD48" i="1"/>
  <c r="CD49" i="1"/>
  <c r="CD50" i="1"/>
  <c r="CD51" i="1"/>
  <c r="CD52" i="1"/>
  <c r="CD53" i="1"/>
  <c r="CD54" i="1"/>
  <c r="CD55" i="1"/>
  <c r="CD56" i="1"/>
  <c r="CD57" i="1"/>
  <c r="CD58" i="1"/>
  <c r="CD59" i="1"/>
  <c r="CD60" i="1"/>
  <c r="CD61" i="1"/>
  <c r="CD62" i="1"/>
  <c r="CD63" i="1"/>
  <c r="CD64" i="1"/>
  <c r="CD65" i="1"/>
  <c r="CD66" i="1"/>
  <c r="CD67" i="1"/>
  <c r="CD68" i="1"/>
  <c r="CD69" i="1"/>
  <c r="CD70" i="1"/>
  <c r="CD71" i="1"/>
  <c r="CD72" i="1"/>
  <c r="CD73" i="1"/>
  <c r="CD74" i="1"/>
  <c r="CD75" i="1"/>
  <c r="CD76" i="1"/>
  <c r="CD77" i="1"/>
  <c r="CD78" i="1"/>
  <c r="CD79" i="1"/>
  <c r="CD80" i="1"/>
  <c r="CD81" i="1"/>
  <c r="CD82" i="1"/>
  <c r="CD83" i="1"/>
  <c r="CD84" i="1"/>
  <c r="CD85" i="1"/>
  <c r="CD86" i="1"/>
  <c r="CD87" i="1"/>
  <c r="CD88" i="1"/>
  <c r="CD89" i="1"/>
  <c r="CD90" i="1"/>
  <c r="CD91" i="1"/>
  <c r="CD92" i="1"/>
  <c r="CD93" i="1"/>
  <c r="CD94" i="1"/>
  <c r="CD95" i="1"/>
  <c r="CD96" i="1"/>
  <c r="CD97" i="1"/>
  <c r="CD98" i="1"/>
  <c r="CD99" i="1"/>
  <c r="CD100" i="1"/>
  <c r="CD101" i="1"/>
  <c r="CD102" i="1"/>
  <c r="CD103" i="1"/>
  <c r="CD104" i="1"/>
  <c r="CD105" i="1"/>
  <c r="CD106" i="1"/>
  <c r="CD107" i="1"/>
  <c r="CD108" i="1"/>
  <c r="CD109" i="1"/>
  <c r="CD110" i="1"/>
  <c r="CD111" i="1"/>
  <c r="CD112" i="1"/>
  <c r="CD113" i="1"/>
  <c r="CD114" i="1"/>
  <c r="CD115" i="1"/>
  <c r="CD116" i="1"/>
</calcChain>
</file>

<file path=xl/sharedStrings.xml><?xml version="1.0" encoding="utf-8"?>
<sst xmlns="http://schemas.openxmlformats.org/spreadsheetml/2006/main" count="6700" uniqueCount="294">
  <si>
    <t>Temporada</t>
  </si>
  <si>
    <t>id</t>
  </si>
  <si>
    <t>numero_embarque</t>
  </si>
  <si>
    <t>fecha_despacho</t>
  </si>
  <si>
    <t>Semana Despacho</t>
  </si>
  <si>
    <t>Mes Despacho</t>
  </si>
  <si>
    <t>fecha_arribo</t>
  </si>
  <si>
    <t>tipo_despacho</t>
  </si>
  <si>
    <t>exportadora</t>
  </si>
  <si>
    <t>broker</t>
  </si>
  <si>
    <t>broker_id</t>
  </si>
  <si>
    <t>destinatario</t>
  </si>
  <si>
    <t>destinatario_id</t>
  </si>
  <si>
    <t>rut_chofer</t>
  </si>
  <si>
    <t>nombre_chofer</t>
  </si>
  <si>
    <t>patente_camion</t>
  </si>
  <si>
    <t>patente_carro</t>
  </si>
  <si>
    <t>sellos</t>
  </si>
  <si>
    <t>ubicacion_sellos</t>
  </si>
  <si>
    <t>folio</t>
  </si>
  <si>
    <t>FOLIO 2</t>
  </si>
  <si>
    <t>fecha_guia</t>
  </si>
  <si>
    <t>codigo_productor</t>
  </si>
  <si>
    <t>productor</t>
  </si>
  <si>
    <t>razon_social_id</t>
  </si>
  <si>
    <t>familia</t>
  </si>
  <si>
    <t>codigo_embalaje</t>
  </si>
  <si>
    <t>embalaje</t>
  </si>
  <si>
    <t>peso_std</t>
  </si>
  <si>
    <t>cat</t>
  </si>
  <si>
    <t>nombre_cat</t>
  </si>
  <si>
    <t>tipo_cat</t>
  </si>
  <si>
    <t>serie</t>
  </si>
  <si>
    <t>cantidad</t>
  </si>
  <si>
    <t>kilos</t>
  </si>
  <si>
    <t>especie_id</t>
  </si>
  <si>
    <t>numero_inspeccion</t>
  </si>
  <si>
    <t>fecha_inspeccion</t>
  </si>
  <si>
    <t>tipo_inspeccion</t>
  </si>
  <si>
    <t>numero_documento</t>
  </si>
  <si>
    <t>fecha_documento</t>
  </si>
  <si>
    <t>puerto_origen</t>
  </si>
  <si>
    <t>transporte</t>
  </si>
  <si>
    <t>puerto_destino</t>
  </si>
  <si>
    <t>cod_puerto_destino</t>
  </si>
  <si>
    <t>agente</t>
  </si>
  <si>
    <t>rut_agente</t>
  </si>
  <si>
    <t>tipo_agente</t>
  </si>
  <si>
    <t>comuna_agente</t>
  </si>
  <si>
    <t>cod_nave</t>
  </si>
  <si>
    <t>nave</t>
  </si>
  <si>
    <t>contenedor</t>
  </si>
  <si>
    <t>rut_exportadorta_embarque</t>
  </si>
  <si>
    <t>pais_destino</t>
  </si>
  <si>
    <t>fecha_embarque</t>
  </si>
  <si>
    <t>peso_neto_embalaje</t>
  </si>
  <si>
    <t>numero_instructivo</t>
  </si>
  <si>
    <t>id_envase</t>
  </si>
  <si>
    <t>cod_envase</t>
  </si>
  <si>
    <t>numero_envase</t>
  </si>
  <si>
    <t>csg_rotulado</t>
  </si>
  <si>
    <t>id_planta</t>
  </si>
  <si>
    <t>csp</t>
  </si>
  <si>
    <t>rut_embarcador</t>
  </si>
  <si>
    <t>embarcador</t>
  </si>
  <si>
    <t>numero_sello</t>
  </si>
  <si>
    <t>csg_productor</t>
  </si>
  <si>
    <t>id_tipo_contenedor</t>
  </si>
  <si>
    <t>cod_tipo_contenedor</t>
  </si>
  <si>
    <t>numero_tipo_contenedor</t>
  </si>
  <si>
    <t>temperatura</t>
  </si>
  <si>
    <t>embarque_id</t>
  </si>
  <si>
    <t>mercado</t>
  </si>
  <si>
    <t>etiqueta</t>
  </si>
  <si>
    <t>planta_nombre</t>
  </si>
  <si>
    <t>naviera</t>
  </si>
  <si>
    <t>booking</t>
  </si>
  <si>
    <t>BL</t>
  </si>
  <si>
    <t>cierre_stacking</t>
  </si>
  <si>
    <t>estado_documento</t>
  </si>
  <si>
    <t>empresa_transporte</t>
  </si>
  <si>
    <t>apertura_stacking</t>
  </si>
  <si>
    <t>etd</t>
  </si>
  <si>
    <t>eta</t>
  </si>
  <si>
    <t>mes_facturacion</t>
  </si>
  <si>
    <t>Numero_ Fact_ Compra</t>
  </si>
  <si>
    <t>2025-2026</t>
  </si>
  <si>
    <t>SAG</t>
  </si>
  <si>
    <t>ALMAHUE EXPORT SPA</t>
  </si>
  <si>
    <t>CAT-1</t>
  </si>
  <si>
    <t>EXPORTACION</t>
  </si>
  <si>
    <t>18.568.294-3</t>
  </si>
  <si>
    <t>VALPARAISO</t>
  </si>
  <si>
    <t>MARITIMO</t>
  </si>
  <si>
    <t>OPB SERVICIOS INTEGRALES SPA</t>
  </si>
  <si>
    <t>GRANEL</t>
  </si>
  <si>
    <t>SAN ANTONIO</t>
  </si>
  <si>
    <t>MSC</t>
  </si>
  <si>
    <t>14.622.235-8</t>
  </si>
  <si>
    <t>JTHB87</t>
  </si>
  <si>
    <t>119278</t>
  </si>
  <si>
    <t>AGRICOLA LOS MOSTOS SPA</t>
  </si>
  <si>
    <t>91406</t>
  </si>
  <si>
    <t>CHAMONATE SPA</t>
  </si>
  <si>
    <t>SSBS90</t>
  </si>
  <si>
    <t>40</t>
  </si>
  <si>
    <t>DIEGO PONCE</t>
  </si>
  <si>
    <t>50</t>
  </si>
  <si>
    <t>PABLO OTAIZA</t>
  </si>
  <si>
    <t>60</t>
  </si>
  <si>
    <t>PXDH84</t>
  </si>
  <si>
    <t>70</t>
  </si>
  <si>
    <t xml:space="preserve">USA      </t>
  </si>
  <si>
    <t>NORTEAMERICA</t>
  </si>
  <si>
    <t>ONE</t>
  </si>
  <si>
    <t>75</t>
  </si>
  <si>
    <t>74</t>
  </si>
  <si>
    <t>80</t>
  </si>
  <si>
    <t>110</t>
  </si>
  <si>
    <t>100</t>
  </si>
  <si>
    <t>CMA CGM BEIRA</t>
  </si>
  <si>
    <t>17.092.086-4</t>
  </si>
  <si>
    <t>PATRICIO ARAVENA</t>
  </si>
  <si>
    <t>KPXJ71</t>
  </si>
  <si>
    <t>PHILADELPHIA</t>
  </si>
  <si>
    <t>18567516-5</t>
  </si>
  <si>
    <t>CENTROAMERICA</t>
  </si>
  <si>
    <t>ALMAHUE TRADICIONAL</t>
  </si>
  <si>
    <t>IMPORTADORA DE FRUTAS SARANGO S.A. SARCOFRUIT</t>
  </si>
  <si>
    <t>POSORJA</t>
  </si>
  <si>
    <t xml:space="preserve">ECUADOR          </t>
  </si>
  <si>
    <t>CMA CGM</t>
  </si>
  <si>
    <t>SEEDPLC</t>
  </si>
  <si>
    <t>SEEDPLC CIA. LTDA.</t>
  </si>
  <si>
    <t>TERRA EXPORTS</t>
  </si>
  <si>
    <t>CARTAGENA EXPRESS</t>
  </si>
  <si>
    <t>MSC EDNA</t>
  </si>
  <si>
    <t>SNG0507462</t>
  </si>
  <si>
    <t>HFBF75</t>
  </si>
  <si>
    <t>M5614005</t>
  </si>
  <si>
    <t>Z120030971</t>
  </si>
  <si>
    <t>2026-05-18 15:37:00</t>
  </si>
  <si>
    <t>NARANJAS</t>
  </si>
  <si>
    <t>OC15G02</t>
  </si>
  <si>
    <t>CXRU1550178</t>
  </si>
  <si>
    <t>15.0</t>
  </si>
  <si>
    <t>99999</t>
  </si>
  <si>
    <t>5.5</t>
  </si>
  <si>
    <t>CYL FRUITS</t>
  </si>
  <si>
    <t>MAYO</t>
  </si>
  <si>
    <t>Z120030974</t>
  </si>
  <si>
    <t>Z120030975</t>
  </si>
  <si>
    <t>Z120030976</t>
  </si>
  <si>
    <t>Z120030980</t>
  </si>
  <si>
    <t>Z120030981</t>
  </si>
  <si>
    <t>Z120030983</t>
  </si>
  <si>
    <t>Z120030984</t>
  </si>
  <si>
    <t>Z120030985</t>
  </si>
  <si>
    <t>Z120030986</t>
  </si>
  <si>
    <t>Z120030988</t>
  </si>
  <si>
    <t>Z120030989</t>
  </si>
  <si>
    <t>Z120030990</t>
  </si>
  <si>
    <t>Z120030992</t>
  </si>
  <si>
    <t>Z120030993</t>
  </si>
  <si>
    <t>Z120030994</t>
  </si>
  <si>
    <t>Z120030995</t>
  </si>
  <si>
    <t>Z120030996</t>
  </si>
  <si>
    <t>Z120030997</t>
  </si>
  <si>
    <t>Z120030998</t>
  </si>
  <si>
    <t>NAP</t>
  </si>
  <si>
    <t>NORTH AMERICAN PRODUCE BUYERS LTD</t>
  </si>
  <si>
    <t>FX41524908</t>
  </si>
  <si>
    <t>Z120030916</t>
  </si>
  <si>
    <t>2026-05-22 10:20:00</t>
  </si>
  <si>
    <t>OC15OT10</t>
  </si>
  <si>
    <t>CANADA</t>
  </si>
  <si>
    <t>13570</t>
  </si>
  <si>
    <t>TORONTO</t>
  </si>
  <si>
    <t>TTNU8356260</t>
  </si>
  <si>
    <t xml:space="preserve">CANADA  </t>
  </si>
  <si>
    <t>OPEN TOP</t>
  </si>
  <si>
    <t>070ISA1237483</t>
  </si>
  <si>
    <t>MEDUW9418411</t>
  </si>
  <si>
    <t>Z120030918</t>
  </si>
  <si>
    <t>Z120030921</t>
  </si>
  <si>
    <t>Z120030923</t>
  </si>
  <si>
    <t>Z120030925</t>
  </si>
  <si>
    <t>Z120030926</t>
  </si>
  <si>
    <t>Z120030929</t>
  </si>
  <si>
    <t>Z120030932</t>
  </si>
  <si>
    <t>Z120030934</t>
  </si>
  <si>
    <t>Z120030937</t>
  </si>
  <si>
    <t>Z120030938</t>
  </si>
  <si>
    <t>Z120030939</t>
  </si>
  <si>
    <t>Z120030941</t>
  </si>
  <si>
    <t>Z120030946</t>
  </si>
  <si>
    <t>Z120030953</t>
  </si>
  <si>
    <t>Z120030954</t>
  </si>
  <si>
    <t>Z120030956</t>
  </si>
  <si>
    <t>Z120030957</t>
  </si>
  <si>
    <t>Z120030961</t>
  </si>
  <si>
    <t>Z120030964</t>
  </si>
  <si>
    <t>L9363710</t>
  </si>
  <si>
    <t>120030930</t>
  </si>
  <si>
    <t>2026-05-25 12:10:00</t>
  </si>
  <si>
    <t>ISTANBUL EXPRESS</t>
  </si>
  <si>
    <t>CGMU5098150</t>
  </si>
  <si>
    <t>999999</t>
  </si>
  <si>
    <t>AGRICOLA Y PACKING CACHAPOAL S.A</t>
  </si>
  <si>
    <t>SNG0504153</t>
  </si>
  <si>
    <t>120030931</t>
  </si>
  <si>
    <t>120030935</t>
  </si>
  <si>
    <t>120030940</t>
  </si>
  <si>
    <t>120030947</t>
  </si>
  <si>
    <t>120030948</t>
  </si>
  <si>
    <t>120030950</t>
  </si>
  <si>
    <t>120030951</t>
  </si>
  <si>
    <t>120030960</t>
  </si>
  <si>
    <t>120030962</t>
  </si>
  <si>
    <t>120030965</t>
  </si>
  <si>
    <t>120030966</t>
  </si>
  <si>
    <t>120030969</t>
  </si>
  <si>
    <t>120030972</t>
  </si>
  <si>
    <t>120030973</t>
  </si>
  <si>
    <t>120030977</t>
  </si>
  <si>
    <t>120030978</t>
  </si>
  <si>
    <t>120030979</t>
  </si>
  <si>
    <t>120030987</t>
  </si>
  <si>
    <t>120030991</t>
  </si>
  <si>
    <t>OPPY</t>
  </si>
  <si>
    <t>DAVID OPPENHEIMER AND COMPANY I, LLC.</t>
  </si>
  <si>
    <t>JONATHAN SALINAS</t>
  </si>
  <si>
    <t>LAB370929</t>
  </si>
  <si>
    <t>Z120028178</t>
  </si>
  <si>
    <t>2026-05-27 11:00:00</t>
  </si>
  <si>
    <t>13577</t>
  </si>
  <si>
    <t>TTNU8020995</t>
  </si>
  <si>
    <t>SCLG12879700</t>
  </si>
  <si>
    <t>ONEYSCLG12879700</t>
  </si>
  <si>
    <t>Z120028180</t>
  </si>
  <si>
    <t>Z120028186</t>
  </si>
  <si>
    <t>Z120028193</t>
  </si>
  <si>
    <t>Z120028195</t>
  </si>
  <si>
    <t>Z120028198</t>
  </si>
  <si>
    <t>Z120030906</t>
  </si>
  <si>
    <t>Z120030912</t>
  </si>
  <si>
    <t>Z120030927</t>
  </si>
  <si>
    <t>Z120030933</t>
  </si>
  <si>
    <t>OC15OT09</t>
  </si>
  <si>
    <t>COSTCO</t>
  </si>
  <si>
    <t>Z120030936</t>
  </si>
  <si>
    <t>Z120030943</t>
  </si>
  <si>
    <t>Z120030944</t>
  </si>
  <si>
    <t>Z120030952</t>
  </si>
  <si>
    <t>Z120030955</t>
  </si>
  <si>
    <t>Z120030958</t>
  </si>
  <si>
    <t>Z120030959</t>
  </si>
  <si>
    <t>Z120030963</t>
  </si>
  <si>
    <t>Z120030968</t>
  </si>
  <si>
    <t>Z120030982</t>
  </si>
  <si>
    <t>FX41705241</t>
  </si>
  <si>
    <t>Z120028160</t>
  </si>
  <si>
    <t>2026-05-29 10:20:00</t>
  </si>
  <si>
    <t>13583</t>
  </si>
  <si>
    <t>MSC RAYSHMI</t>
  </si>
  <si>
    <t>TEMU9136950</t>
  </si>
  <si>
    <t>070ISA1237975</t>
  </si>
  <si>
    <t>MEDUW9426786</t>
  </si>
  <si>
    <t>Z120028165</t>
  </si>
  <si>
    <t>Z120028166</t>
  </si>
  <si>
    <t>Z120028170</t>
  </si>
  <si>
    <t>Z120028175</t>
  </si>
  <si>
    <t>Z120028177</t>
  </si>
  <si>
    <t>Z120028181</t>
  </si>
  <si>
    <t>Z120028184</t>
  </si>
  <si>
    <t>Z120028188</t>
  </si>
  <si>
    <t>Z120028190</t>
  </si>
  <si>
    <t>Z120028191</t>
  </si>
  <si>
    <t>Z120028194</t>
  </si>
  <si>
    <t>Z120028197</t>
  </si>
  <si>
    <t>Z120030901</t>
  </si>
  <si>
    <t>Z120030903</t>
  </si>
  <si>
    <t>Z120030904</t>
  </si>
  <si>
    <t>Z120030905</t>
  </si>
  <si>
    <t>Z120030909</t>
  </si>
  <si>
    <t>Z120030913</t>
  </si>
  <si>
    <t>Z120030917</t>
  </si>
  <si>
    <t>Proveedor</t>
  </si>
  <si>
    <t>ALM SERVICES SPA</t>
  </si>
  <si>
    <t>Fact Exportacion</t>
  </si>
  <si>
    <t>Total general</t>
  </si>
  <si>
    <t>Suma de cantidad</t>
  </si>
  <si>
    <t>Total</t>
  </si>
  <si>
    <t>(Todas)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</si>
</sst>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5">
    <xf numFmtId="0" fontId="0" fillId="0" borderId="0" xfId="0"/>
    <xf numFmtId="14" fontId="0" fillId="0" borderId="0" xfId="1" applyNumberFormat="1" applyFont="1"/>
    <xf numFmtId="14" fontId="0" fillId="0" borderId="0" xfId="0" applyNumberFormat="1"/>
    <xf numFmtId="0" fontId="0" fillId="0" borderId="0" xfId="0" pivotButton="1"/>
    <xf numFmtId="0" fontId="0" fillId="0" borderId="0" xfId="0" applyNumberFormat="1"/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uanAgust&#237;nVillelaCo\Downloads\Resumen_Embarques%20(6).xlsx" TargetMode="External"/><Relationship Id="rId1" Type="http://schemas.openxmlformats.org/officeDocument/2006/relationships/externalLinkPath" Target="file:///C:\Users\JuanAgust&#237;nVillelaCo\Downloads\Resumen_Embarques%20(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A1" t="str">
            <v>N° Embarque</v>
          </cell>
          <cell r="B1" t="str">
            <v>Fecha Despacho</v>
          </cell>
          <cell r="C1" t="str">
            <v>Fecha Zarpe</v>
          </cell>
          <cell r="D1" t="str">
            <v>Nave</v>
          </cell>
          <cell r="E1" t="str">
            <v>Transporte</v>
          </cell>
          <cell r="F1" t="str">
            <v>Broker</v>
          </cell>
          <cell r="G1" t="str">
            <v>Facturación</v>
          </cell>
          <cell r="H1" t="str">
            <v>Especies</v>
          </cell>
          <cell r="I1" t="str">
            <v>Variedades</v>
          </cell>
          <cell r="J1" t="str">
            <v>Exportadora</v>
          </cell>
          <cell r="K1" t="str">
            <v>Modalidad Venta</v>
          </cell>
          <cell r="L1" t="str">
            <v>Clausula Venta</v>
          </cell>
          <cell r="M1" t="str">
            <v>Cajas</v>
          </cell>
          <cell r="N1" t="str">
            <v>Venta Facturable</v>
          </cell>
          <cell r="O1" t="str">
            <v>Flete</v>
          </cell>
          <cell r="P1" t="str">
            <v>Seguro</v>
          </cell>
          <cell r="Q1" t="str">
            <v>Venta FOB</v>
          </cell>
          <cell r="R1" t="str">
            <v>Folio Fact Trib</v>
          </cell>
          <cell r="S1" t="str">
            <v>USD Fact Trib</v>
          </cell>
          <cell r="T1" t="str">
            <v>Peso Fact Trib</v>
          </cell>
          <cell r="U1" t="str">
            <v>Folio ND / NC</v>
          </cell>
          <cell r="V1" t="str">
            <v>Valor USD ND / NC</v>
          </cell>
          <cell r="W1" t="str">
            <v>Valor CLP ND / NC</v>
          </cell>
          <cell r="X1" t="str">
            <v>N° DUS</v>
          </cell>
          <cell r="Y1" t="str">
            <v>DUS Legalización</v>
          </cell>
          <cell r="Z1" t="str">
            <v>DUS en sistema</v>
          </cell>
          <cell r="AA1" t="str">
            <v>IVV en sistema</v>
          </cell>
          <cell r="AB1" t="str">
            <v>Vencimiento IVV (+180 días DUS)</v>
          </cell>
          <cell r="AC1" t="str">
            <v>Revision IVV</v>
          </cell>
        </row>
        <row r="2">
          <cell r="A2">
            <v>452</v>
          </cell>
          <cell r="B2" t="str">
            <v>09-06-2026</v>
          </cell>
          <cell r="C2" t="str">
            <v>12-06-2026</v>
          </cell>
          <cell r="D2" t="str">
            <v>CMA CGM ALIAGA</v>
          </cell>
          <cell r="E2" t="str">
            <v>MARITIMO</v>
          </cell>
          <cell r="F2" t="str">
            <v>FARMS CO II USA</v>
          </cell>
          <cell r="G2" t="str">
            <v>FARMS CO II USA</v>
          </cell>
          <cell r="J2" t="str">
            <v>ALMAHUE EXPORT</v>
          </cell>
          <cell r="K2" t="str">
            <v>CONS-LIBRE</v>
          </cell>
          <cell r="L2" t="str">
            <v>FOB</v>
          </cell>
          <cell r="M2">
            <v>0</v>
          </cell>
          <cell r="N2" t="str">
            <v>0.00</v>
          </cell>
          <cell r="O2" t="str">
            <v>0.00</v>
          </cell>
          <cell r="P2" t="str">
            <v>0.00</v>
          </cell>
          <cell r="Q2" t="str">
            <v>0.00</v>
          </cell>
          <cell r="S2" t="str">
            <v>0.00</v>
          </cell>
          <cell r="T2" t="str">
            <v>0</v>
          </cell>
          <cell r="V2" t="str">
            <v>0.00</v>
          </cell>
          <cell r="W2">
            <v>0</v>
          </cell>
          <cell r="Z2" t="str">
            <v>NO</v>
          </cell>
          <cell r="AA2" t="str">
            <v>NO</v>
          </cell>
          <cell r="AC2" t="str">
            <v>Sin Aprobar</v>
          </cell>
        </row>
        <row r="3">
          <cell r="A3">
            <v>451</v>
          </cell>
          <cell r="B3" t="str">
            <v>02-06-2026</v>
          </cell>
          <cell r="C3" t="str">
            <v>05-06-2026</v>
          </cell>
          <cell r="D3" t="str">
            <v>MATTHEW SCHULTE</v>
          </cell>
          <cell r="E3" t="str">
            <v>MARITIMO</v>
          </cell>
          <cell r="F3" t="str">
            <v>OPPY</v>
          </cell>
          <cell r="G3" t="str">
            <v>DAVID OPPENHEIMER AND COMPANY I, LLC.</v>
          </cell>
          <cell r="J3" t="str">
            <v>ALMAHUE EXPORT</v>
          </cell>
          <cell r="K3" t="str">
            <v>CONS-LIBRE</v>
          </cell>
          <cell r="L3" t="str">
            <v>FOB</v>
          </cell>
          <cell r="M3" t="str">
            <v>1320</v>
          </cell>
          <cell r="N3" t="str">
            <v>0.00</v>
          </cell>
          <cell r="O3" t="str">
            <v>0.00</v>
          </cell>
          <cell r="P3" t="str">
            <v>0.00</v>
          </cell>
          <cell r="Q3" t="str">
            <v>0.00</v>
          </cell>
          <cell r="S3" t="str">
            <v>0.00</v>
          </cell>
          <cell r="T3" t="str">
            <v>0</v>
          </cell>
          <cell r="V3" t="str">
            <v>0.00</v>
          </cell>
          <cell r="W3">
            <v>0</v>
          </cell>
          <cell r="X3" t="str">
            <v>13512727-2</v>
          </cell>
          <cell r="Z3" t="str">
            <v>NO</v>
          </cell>
          <cell r="AA3" t="str">
            <v>NO</v>
          </cell>
          <cell r="AC3" t="str">
            <v>Sin Aprobar</v>
          </cell>
        </row>
        <row r="4">
          <cell r="A4">
            <v>450</v>
          </cell>
          <cell r="B4" t="str">
            <v>02-06-2026</v>
          </cell>
          <cell r="C4" t="str">
            <v>05-06-2026</v>
          </cell>
          <cell r="D4" t="str">
            <v>MATTHEW SCHULTE</v>
          </cell>
          <cell r="E4" t="str">
            <v>MARITIMO</v>
          </cell>
          <cell r="F4" t="str">
            <v>OPPY</v>
          </cell>
          <cell r="G4" t="str">
            <v>DAVID OPPENHEIMER AND COMPANY I, LLC.</v>
          </cell>
          <cell r="J4" t="str">
            <v>ALMAHUE EXPORT</v>
          </cell>
          <cell r="K4" t="str">
            <v>CONS-LIBRE</v>
          </cell>
          <cell r="L4" t="str">
            <v>FOB</v>
          </cell>
          <cell r="M4" t="str">
            <v>1340</v>
          </cell>
          <cell r="N4" t="str">
            <v>0.00</v>
          </cell>
          <cell r="O4" t="str">
            <v>0.00</v>
          </cell>
          <cell r="P4" t="str">
            <v>0.00</v>
          </cell>
          <cell r="Q4" t="str">
            <v>0.00</v>
          </cell>
          <cell r="S4" t="str">
            <v>0.00</v>
          </cell>
          <cell r="T4" t="str">
            <v>0</v>
          </cell>
          <cell r="V4" t="str">
            <v>0.00</v>
          </cell>
          <cell r="W4">
            <v>0</v>
          </cell>
          <cell r="X4" t="str">
            <v>13512725-6</v>
          </cell>
          <cell r="Z4" t="str">
            <v>NO</v>
          </cell>
          <cell r="AA4" t="str">
            <v>NO</v>
          </cell>
          <cell r="AC4" t="str">
            <v>Sin Aprobar</v>
          </cell>
        </row>
        <row r="5">
          <cell r="A5">
            <v>449</v>
          </cell>
          <cell r="B5" t="str">
            <v>29-05-2026</v>
          </cell>
          <cell r="C5" t="str">
            <v>31-05-2026</v>
          </cell>
          <cell r="D5" t="str">
            <v>MSC RAYSHMI</v>
          </cell>
          <cell r="E5" t="str">
            <v>MARITIMO</v>
          </cell>
          <cell r="F5" t="str">
            <v>NAP</v>
          </cell>
          <cell r="G5" t="str">
            <v>NORTH AMERICAN PRODUCE BUYERS LTD</v>
          </cell>
          <cell r="J5" t="str">
            <v>ALMAHUE EXPORT</v>
          </cell>
          <cell r="K5" t="str">
            <v>CONS-LIBRE</v>
          </cell>
          <cell r="L5" t="str">
            <v>FOB</v>
          </cell>
          <cell r="M5" t="str">
            <v>1200</v>
          </cell>
          <cell r="N5" t="str">
            <v>0.00</v>
          </cell>
          <cell r="O5" t="str">
            <v>0.00</v>
          </cell>
          <cell r="P5" t="str">
            <v>0.00</v>
          </cell>
          <cell r="Q5" t="str">
            <v>0.00</v>
          </cell>
          <cell r="R5">
            <v>1977</v>
          </cell>
          <cell r="S5" t="str">
            <v>20400.00</v>
          </cell>
          <cell r="T5" t="str">
            <v>18,214,956</v>
          </cell>
          <cell r="V5" t="str">
            <v>0.00</v>
          </cell>
          <cell r="W5">
            <v>0</v>
          </cell>
          <cell r="X5" t="str">
            <v>13505447-K</v>
          </cell>
          <cell r="Z5" t="str">
            <v>NO</v>
          </cell>
          <cell r="AA5" t="str">
            <v>NO</v>
          </cell>
          <cell r="AC5" t="str">
            <v>Sin Aprobar</v>
          </cell>
        </row>
        <row r="6">
          <cell r="A6">
            <v>448</v>
          </cell>
          <cell r="B6" t="str">
            <v>27-05-2026</v>
          </cell>
          <cell r="C6" t="str">
            <v>29-05-2026</v>
          </cell>
          <cell r="D6" t="str">
            <v>CMA CGM BEIRA</v>
          </cell>
          <cell r="E6" t="str">
            <v>MARITIMO</v>
          </cell>
          <cell r="F6" t="str">
            <v>OPPY</v>
          </cell>
          <cell r="G6" t="str">
            <v>DAVID OPPENHEIMER AND COMPANY I, LLC.</v>
          </cell>
          <cell r="J6" t="str">
            <v>ALMAHUE EXPORT</v>
          </cell>
          <cell r="K6" t="str">
            <v>CONS-LIBRE</v>
          </cell>
          <cell r="L6" t="str">
            <v>FOB</v>
          </cell>
          <cell r="M6" t="str">
            <v>1440</v>
          </cell>
          <cell r="N6" t="str">
            <v>0.00</v>
          </cell>
          <cell r="O6" t="str">
            <v>0.00</v>
          </cell>
          <cell r="P6" t="str">
            <v>0.00</v>
          </cell>
          <cell r="Q6" t="str">
            <v>0.00</v>
          </cell>
          <cell r="R6">
            <v>1976</v>
          </cell>
          <cell r="S6" t="str">
            <v>25920.00</v>
          </cell>
          <cell r="T6" t="str">
            <v>23,143,709</v>
          </cell>
          <cell r="V6" t="str">
            <v>0.00</v>
          </cell>
          <cell r="W6">
            <v>0</v>
          </cell>
          <cell r="X6" t="str">
            <v>13496865-6</v>
          </cell>
          <cell r="Z6" t="str">
            <v>NO</v>
          </cell>
          <cell r="AA6" t="str">
            <v>NO</v>
          </cell>
          <cell r="AC6" t="str">
            <v>Sin Aprobar</v>
          </cell>
        </row>
        <row r="7">
          <cell r="A7">
            <v>447</v>
          </cell>
          <cell r="B7" t="str">
            <v>26-05-2026</v>
          </cell>
          <cell r="C7" t="str">
            <v>28-05-2026</v>
          </cell>
          <cell r="D7" t="str">
            <v>MAERSK BULAN</v>
          </cell>
          <cell r="E7" t="str">
            <v>VENTA NACIONAL</v>
          </cell>
          <cell r="F7" t="str">
            <v>EXPORTADORA FRUTAM LTDA.</v>
          </cell>
          <cell r="G7" t="str">
            <v>EXPORTADORA FRUTAM LTDA.</v>
          </cell>
          <cell r="J7" t="str">
            <v>ALMAHUE EXPORT</v>
          </cell>
          <cell r="K7" t="str">
            <v>BAJO COND.</v>
          </cell>
          <cell r="L7" t="str">
            <v>FOB</v>
          </cell>
          <cell r="M7" t="str">
            <v>1600</v>
          </cell>
          <cell r="N7" t="str">
            <v>0.00</v>
          </cell>
          <cell r="O7" t="str">
            <v>0.00</v>
          </cell>
          <cell r="P7" t="str">
            <v>0.00</v>
          </cell>
          <cell r="Q7" t="str">
            <v>0.00</v>
          </cell>
          <cell r="S7" t="str">
            <v>0.00</v>
          </cell>
          <cell r="T7" t="str">
            <v>0</v>
          </cell>
          <cell r="V7" t="str">
            <v>0.00</v>
          </cell>
          <cell r="W7">
            <v>0</v>
          </cell>
          <cell r="Z7" t="str">
            <v>NO</v>
          </cell>
          <cell r="AA7" t="str">
            <v>NO</v>
          </cell>
          <cell r="AC7" t="str">
            <v>Sin Aprobar</v>
          </cell>
        </row>
        <row r="8">
          <cell r="A8">
            <v>446</v>
          </cell>
          <cell r="B8" t="str">
            <v>22-05-2026</v>
          </cell>
          <cell r="C8" t="str">
            <v>24-05-2026</v>
          </cell>
          <cell r="D8" t="str">
            <v>MSC EDNA</v>
          </cell>
          <cell r="E8" t="str">
            <v>MARITIMO</v>
          </cell>
          <cell r="F8" t="str">
            <v>NAP</v>
          </cell>
          <cell r="G8" t="str">
            <v>NORTH AMERICAN PRODUCE BUYERS LTD</v>
          </cell>
          <cell r="J8" t="str">
            <v>ALMAHUE EXPORT</v>
          </cell>
          <cell r="K8" t="str">
            <v>CONS-LIBRE</v>
          </cell>
          <cell r="L8" t="str">
            <v>FOB</v>
          </cell>
          <cell r="M8" t="str">
            <v>1200</v>
          </cell>
          <cell r="N8" t="str">
            <v>0.00</v>
          </cell>
          <cell r="O8" t="str">
            <v>0.00</v>
          </cell>
          <cell r="P8" t="str">
            <v>0.00</v>
          </cell>
          <cell r="Q8" t="str">
            <v>0.00</v>
          </cell>
          <cell r="R8">
            <v>1974</v>
          </cell>
          <cell r="S8" t="str">
            <v>20400.00</v>
          </cell>
          <cell r="T8" t="str">
            <v>18,353,472</v>
          </cell>
          <cell r="V8" t="str">
            <v>0.00</v>
          </cell>
          <cell r="W8">
            <v>0</v>
          </cell>
          <cell r="X8" t="str">
            <v>13491015-1</v>
          </cell>
          <cell r="Z8" t="str">
            <v>NO</v>
          </cell>
          <cell r="AA8" t="str">
            <v>NO</v>
          </cell>
          <cell r="AC8" t="str">
            <v>Sin Aprobar</v>
          </cell>
        </row>
        <row r="9">
          <cell r="A9">
            <v>445</v>
          </cell>
          <cell r="B9" t="str">
            <v>25-05-2026</v>
          </cell>
          <cell r="C9" t="str">
            <v>29-05-2026</v>
          </cell>
          <cell r="D9" t="str">
            <v>ISTANBUL EXPRESS</v>
          </cell>
          <cell r="E9" t="str">
            <v>MARITIMO</v>
          </cell>
          <cell r="F9" t="str">
            <v>SEEDPLC</v>
          </cell>
          <cell r="G9" t="str">
            <v>SEEDPLC CIA. LTDA.</v>
          </cell>
          <cell r="J9" t="str">
            <v>ALMAHUE EXPORT</v>
          </cell>
          <cell r="K9" t="str">
            <v>BAJO COND.</v>
          </cell>
          <cell r="L9" t="str">
            <v>FOB</v>
          </cell>
          <cell r="M9" t="str">
            <v>1600</v>
          </cell>
          <cell r="N9" t="str">
            <v>0.00</v>
          </cell>
          <cell r="O9" t="str">
            <v>0.00</v>
          </cell>
          <cell r="P9" t="str">
            <v>0.00</v>
          </cell>
          <cell r="Q9" t="str">
            <v>0.00</v>
          </cell>
          <cell r="R9">
            <v>1975</v>
          </cell>
          <cell r="S9" t="str">
            <v>30320.00</v>
          </cell>
          <cell r="T9" t="str">
            <v>27,072,425</v>
          </cell>
          <cell r="V9" t="str">
            <v>0.00</v>
          </cell>
          <cell r="W9">
            <v>0</v>
          </cell>
          <cell r="X9" t="str">
            <v>13493558-8</v>
          </cell>
          <cell r="Z9" t="str">
            <v>NO</v>
          </cell>
          <cell r="AA9" t="str">
            <v>NO</v>
          </cell>
          <cell r="AC9" t="str">
            <v>Sin Aprobar</v>
          </cell>
        </row>
        <row r="10">
          <cell r="A10">
            <v>444</v>
          </cell>
          <cell r="B10" t="str">
            <v>18-05-2026</v>
          </cell>
          <cell r="C10" t="str">
            <v>22-05-2026</v>
          </cell>
          <cell r="D10" t="str">
            <v>CARTAGENA EXPRESS</v>
          </cell>
          <cell r="E10" t="str">
            <v>MARITIMO</v>
          </cell>
          <cell r="F10" t="str">
            <v>TERRA EXPORTS</v>
          </cell>
          <cell r="G10" t="str">
            <v>IMPORTADORA DE FRUTAS SARANGO S.A. SARCOFRUIT</v>
          </cell>
          <cell r="J10" t="str">
            <v>ALMAHUE EXPORT</v>
          </cell>
          <cell r="K10" t="str">
            <v>BAJO COND.</v>
          </cell>
          <cell r="L10" t="str">
            <v>FOB</v>
          </cell>
          <cell r="M10" t="str">
            <v>1600</v>
          </cell>
          <cell r="N10" t="str">
            <v>0.00</v>
          </cell>
          <cell r="O10" t="str">
            <v>0.00</v>
          </cell>
          <cell r="P10" t="str">
            <v>0.00</v>
          </cell>
          <cell r="Q10" t="str">
            <v>0.00</v>
          </cell>
          <cell r="R10">
            <v>1973</v>
          </cell>
          <cell r="S10" t="str">
            <v>28880.00</v>
          </cell>
          <cell r="T10" t="str">
            <v>25,982,758</v>
          </cell>
          <cell r="V10" t="str">
            <v>0.00</v>
          </cell>
          <cell r="W10">
            <v>0</v>
          </cell>
          <cell r="X10" t="str">
            <v>13484137-0</v>
          </cell>
          <cell r="Z10" t="str">
            <v>NO</v>
          </cell>
          <cell r="AA10" t="str">
            <v>NO</v>
          </cell>
          <cell r="AC10" t="str">
            <v>Sin Aprobar</v>
          </cell>
        </row>
        <row r="11">
          <cell r="A11">
            <v>443</v>
          </cell>
          <cell r="B11" t="str">
            <v>20-11-2025</v>
          </cell>
          <cell r="C11" t="str">
            <v>20-11-2025</v>
          </cell>
          <cell r="D11" t="str">
            <v>ALMAHUE</v>
          </cell>
          <cell r="E11" t="str">
            <v>MARITIMO</v>
          </cell>
          <cell r="F11" t="str">
            <v>ALMAHUE EXPORT</v>
          </cell>
          <cell r="G11" t="str">
            <v>ALMAHUE EXPORT</v>
          </cell>
          <cell r="J11" t="str">
            <v>ALMAHUE EXPORT</v>
          </cell>
          <cell r="K11" t="str">
            <v>CONS-LIBRE</v>
          </cell>
          <cell r="L11" t="str">
            <v>FOB</v>
          </cell>
          <cell r="M11" t="str">
            <v>229</v>
          </cell>
          <cell r="N11" t="str">
            <v>0.00</v>
          </cell>
          <cell r="O11" t="str">
            <v>0.00</v>
          </cell>
          <cell r="P11" t="str">
            <v>0.00</v>
          </cell>
          <cell r="Q11" t="str">
            <v>0.00</v>
          </cell>
          <cell r="S11" t="str">
            <v>0.00</v>
          </cell>
          <cell r="T11" t="str">
            <v>0</v>
          </cell>
          <cell r="V11" t="str">
            <v>0.00</v>
          </cell>
          <cell r="W11">
            <v>0</v>
          </cell>
          <cell r="Z11" t="str">
            <v>NO</v>
          </cell>
          <cell r="AA11" t="str">
            <v>NO</v>
          </cell>
          <cell r="AC11" t="str">
            <v>Sin Aprobar</v>
          </cell>
        </row>
        <row r="12">
          <cell r="A12">
            <v>442</v>
          </cell>
          <cell r="B12" t="str">
            <v>17-11-2025</v>
          </cell>
          <cell r="C12" t="str">
            <v>20-11-2025</v>
          </cell>
          <cell r="D12" t="str">
            <v>ALMAHUE</v>
          </cell>
          <cell r="E12" t="str">
            <v>MARITIMO</v>
          </cell>
          <cell r="F12" t="str">
            <v>ALMAHUE EXPORT</v>
          </cell>
          <cell r="G12" t="str">
            <v>ALMAHUE EXPORT</v>
          </cell>
          <cell r="J12" t="str">
            <v>ALMAHUE EXPORT</v>
          </cell>
          <cell r="K12" t="str">
            <v>CONS-LIBRE</v>
          </cell>
          <cell r="L12" t="str">
            <v>FOB</v>
          </cell>
          <cell r="M12" t="str">
            <v>103</v>
          </cell>
          <cell r="N12" t="str">
            <v>0.00</v>
          </cell>
          <cell r="O12" t="str">
            <v>0.00</v>
          </cell>
          <cell r="P12" t="str">
            <v>0.00</v>
          </cell>
          <cell r="Q12" t="str">
            <v>0.00</v>
          </cell>
          <cell r="S12" t="str">
            <v>0.00</v>
          </cell>
          <cell r="T12" t="str">
            <v>0</v>
          </cell>
          <cell r="V12" t="str">
            <v>0.00</v>
          </cell>
          <cell r="W12">
            <v>0</v>
          </cell>
          <cell r="Z12" t="str">
            <v>NO</v>
          </cell>
          <cell r="AA12" t="str">
            <v>NO</v>
          </cell>
          <cell r="AC12" t="str">
            <v>Sin Aprobar</v>
          </cell>
        </row>
        <row r="13">
          <cell r="A13">
            <v>441</v>
          </cell>
          <cell r="B13" t="str">
            <v>16-11-2025</v>
          </cell>
          <cell r="C13" t="str">
            <v>20-11-2025</v>
          </cell>
          <cell r="D13" t="str">
            <v>ALMAHUE</v>
          </cell>
          <cell r="E13" t="str">
            <v>MARITIMO</v>
          </cell>
          <cell r="F13" t="str">
            <v>ALMAHUE EXPORT</v>
          </cell>
          <cell r="G13" t="str">
            <v>ALMAHUE EXPORT</v>
          </cell>
          <cell r="J13" t="str">
            <v>ALMAHUE EXPORT</v>
          </cell>
          <cell r="K13" t="str">
            <v>CONS-LIBRE</v>
          </cell>
          <cell r="L13" t="str">
            <v>FOB</v>
          </cell>
          <cell r="M13" t="str">
            <v>437</v>
          </cell>
          <cell r="N13" t="str">
            <v>0.00</v>
          </cell>
          <cell r="O13" t="str">
            <v>0.00</v>
          </cell>
          <cell r="P13" t="str">
            <v>0.00</v>
          </cell>
          <cell r="Q13" t="str">
            <v>0.00</v>
          </cell>
          <cell r="S13" t="str">
            <v>0.00</v>
          </cell>
          <cell r="T13" t="str">
            <v>0</v>
          </cell>
          <cell r="V13" t="str">
            <v>0.00</v>
          </cell>
          <cell r="W13">
            <v>0</v>
          </cell>
          <cell r="Z13" t="str">
            <v>NO</v>
          </cell>
          <cell r="AA13" t="str">
            <v>NO</v>
          </cell>
          <cell r="AC13" t="str">
            <v>Sin Aprobar</v>
          </cell>
        </row>
        <row r="14">
          <cell r="A14">
            <v>440</v>
          </cell>
          <cell r="B14" t="str">
            <v>20-11-2025</v>
          </cell>
          <cell r="C14" t="str">
            <v>20-11-2025</v>
          </cell>
          <cell r="D14" t="str">
            <v>ALMAHUE</v>
          </cell>
          <cell r="E14" t="str">
            <v>MARITIMO</v>
          </cell>
          <cell r="F14" t="str">
            <v>ALMAHUE EXPORT</v>
          </cell>
          <cell r="G14" t="str">
            <v>ALMAHUE EXPORT</v>
          </cell>
          <cell r="J14" t="str">
            <v>ALMAHUE EXPORT</v>
          </cell>
          <cell r="K14" t="str">
            <v>CONS-LIBRE</v>
          </cell>
          <cell r="L14" t="str">
            <v>FOB</v>
          </cell>
          <cell r="M14" t="str">
            <v>576</v>
          </cell>
          <cell r="N14" t="str">
            <v>0.00</v>
          </cell>
          <cell r="O14" t="str">
            <v>0.00</v>
          </cell>
          <cell r="P14" t="str">
            <v>0.00</v>
          </cell>
          <cell r="Q14" t="str">
            <v>0.00</v>
          </cell>
          <cell r="S14" t="str">
            <v>0.00</v>
          </cell>
          <cell r="T14" t="str">
            <v>0</v>
          </cell>
          <cell r="V14" t="str">
            <v>0.00</v>
          </cell>
          <cell r="W14">
            <v>0</v>
          </cell>
          <cell r="Z14" t="str">
            <v>NO</v>
          </cell>
          <cell r="AA14" t="str">
            <v>NO</v>
          </cell>
          <cell r="AC14" t="str">
            <v>Sin Aprobar</v>
          </cell>
        </row>
        <row r="15">
          <cell r="A15">
            <v>439</v>
          </cell>
          <cell r="B15" t="str">
            <v>10-11-2025</v>
          </cell>
          <cell r="C15" t="str">
            <v>20-11-2025</v>
          </cell>
          <cell r="D15" t="str">
            <v>ALMAHUE</v>
          </cell>
          <cell r="E15" t="str">
            <v>MARITIMO</v>
          </cell>
          <cell r="F15" t="str">
            <v>ALMAHUE EXPORT</v>
          </cell>
          <cell r="G15" t="str">
            <v>ALMAHUE EXPORT</v>
          </cell>
          <cell r="J15" t="str">
            <v>ALMAHUE EXPORT</v>
          </cell>
          <cell r="K15" t="str">
            <v>CONS-LIBRE</v>
          </cell>
          <cell r="L15" t="str">
            <v>FOB</v>
          </cell>
          <cell r="M15" t="str">
            <v>252</v>
          </cell>
          <cell r="N15" t="str">
            <v>0.00</v>
          </cell>
          <cell r="O15" t="str">
            <v>0.00</v>
          </cell>
          <cell r="P15" t="str">
            <v>0.00</v>
          </cell>
          <cell r="Q15" t="str">
            <v>0.00</v>
          </cell>
          <cell r="S15" t="str">
            <v>0.00</v>
          </cell>
          <cell r="T15" t="str">
            <v>0</v>
          </cell>
          <cell r="V15" t="str">
            <v>0.00</v>
          </cell>
          <cell r="W15">
            <v>0</v>
          </cell>
          <cell r="Z15" t="str">
            <v>NO</v>
          </cell>
          <cell r="AA15" t="str">
            <v>NO</v>
          </cell>
          <cell r="AC15" t="str">
            <v>Sin Aprobar</v>
          </cell>
        </row>
        <row r="16">
          <cell r="A16">
            <v>438</v>
          </cell>
          <cell r="B16" t="str">
            <v>10-04-2026</v>
          </cell>
          <cell r="C16" t="str">
            <v>Sin Fecha</v>
          </cell>
          <cell r="D16" t="str">
            <v>ADRIAN</v>
          </cell>
          <cell r="E16" t="str">
            <v>MARITIMO</v>
          </cell>
          <cell r="F16" t="str">
            <v>ACUMEN</v>
          </cell>
          <cell r="G16" t="str">
            <v>COPSAYS, S.A DE C.V</v>
          </cell>
          <cell r="J16" t="str">
            <v>ALMAHUE EXPORT</v>
          </cell>
          <cell r="K16" t="str">
            <v>CONS-M.F</v>
          </cell>
          <cell r="L16" t="str">
            <v>FOB</v>
          </cell>
          <cell r="M16">
            <v>0</v>
          </cell>
          <cell r="N16" t="str">
            <v>0.00</v>
          </cell>
          <cell r="O16" t="str">
            <v>0.00</v>
          </cell>
          <cell r="P16" t="str">
            <v>0.00</v>
          </cell>
          <cell r="Q16" t="str">
            <v>0.00</v>
          </cell>
          <cell r="S16" t="str">
            <v>0.00</v>
          </cell>
          <cell r="T16" t="str">
            <v>0</v>
          </cell>
          <cell r="V16" t="str">
            <v>0.00</v>
          </cell>
          <cell r="W16">
            <v>0</v>
          </cell>
          <cell r="Z16" t="str">
            <v>NO</v>
          </cell>
          <cell r="AA16" t="str">
            <v>NO</v>
          </cell>
          <cell r="AC16" t="str">
            <v>Sin Aprobar</v>
          </cell>
        </row>
        <row r="17">
          <cell r="A17">
            <v>437</v>
          </cell>
          <cell r="B17" t="str">
            <v>31-03-2026</v>
          </cell>
          <cell r="C17" t="str">
            <v>03-04-2026</v>
          </cell>
          <cell r="D17" t="str">
            <v>MARTINIQUE</v>
          </cell>
          <cell r="E17" t="str">
            <v>MARITIMO</v>
          </cell>
          <cell r="F17" t="str">
            <v>SARCOFRUIT SARANGO</v>
          </cell>
          <cell r="G17" t="str">
            <v>IMPORTADORA DE FRUTAS SARANGO S.A. SARCOFRUIT</v>
          </cell>
          <cell r="H17" t="str">
            <v>MANZANAS</v>
          </cell>
          <cell r="I17" t="str">
            <v>ROYAL GALA /</v>
          </cell>
          <cell r="J17" t="str">
            <v>ALMAHUE EXPORT</v>
          </cell>
          <cell r="K17" t="str">
            <v>BAJO COND.</v>
          </cell>
          <cell r="L17" t="str">
            <v>FOB</v>
          </cell>
          <cell r="M17" t="str">
            <v>1029</v>
          </cell>
          <cell r="N17" t="str">
            <v>21609.00</v>
          </cell>
          <cell r="O17" t="str">
            <v>750.00</v>
          </cell>
          <cell r="P17" t="str">
            <v>0.00</v>
          </cell>
          <cell r="Q17" t="str">
            <v>20231.00</v>
          </cell>
          <cell r="R17">
            <v>1972</v>
          </cell>
          <cell r="S17" t="str">
            <v>20231.00</v>
          </cell>
          <cell r="T17" t="str">
            <v>18,530,584</v>
          </cell>
          <cell r="V17" t="str">
            <v>0.00</v>
          </cell>
          <cell r="W17">
            <v>0</v>
          </cell>
          <cell r="X17" t="str">
            <v>13391651-2</v>
          </cell>
          <cell r="Y17" t="str">
            <v>16-04-2026</v>
          </cell>
          <cell r="Z17" t="str">
            <v>SI</v>
          </cell>
          <cell r="AA17" t="str">
            <v>NO</v>
          </cell>
          <cell r="AB17" t="str">
            <v>12-11-2026</v>
          </cell>
          <cell r="AC17" t="str">
            <v>Sin Aprobar</v>
          </cell>
        </row>
        <row r="18">
          <cell r="A18">
            <v>435</v>
          </cell>
          <cell r="B18" t="str">
            <v>12-03-2026</v>
          </cell>
          <cell r="C18" t="str">
            <v>14-03-2026</v>
          </cell>
          <cell r="D18" t="str">
            <v>MSC EDNA</v>
          </cell>
          <cell r="E18" t="str">
            <v>VENTA NACIONAL</v>
          </cell>
          <cell r="F18" t="str">
            <v>COMERCIAL SANTA CLARA S.A.</v>
          </cell>
          <cell r="G18" t="str">
            <v>INVERSIONES ANA MARÍA ESPEJO S.A.S.</v>
          </cell>
          <cell r="H18" t="str">
            <v>MANZANAS</v>
          </cell>
          <cell r="I18" t="str">
            <v>ROYAL GALA /</v>
          </cell>
          <cell r="J18" t="str">
            <v>ALMAHUE EXPORT</v>
          </cell>
          <cell r="K18" t="str">
            <v>BAJO COND.</v>
          </cell>
          <cell r="L18" t="str">
            <v>FOB</v>
          </cell>
          <cell r="M18" t="str">
            <v>1029</v>
          </cell>
          <cell r="N18" t="str">
            <v>22844192.00</v>
          </cell>
          <cell r="O18" t="str">
            <v>773500.00</v>
          </cell>
          <cell r="P18" t="str">
            <v>0.00</v>
          </cell>
          <cell r="Q18" t="str">
            <v>21887300.00</v>
          </cell>
          <cell r="S18" t="str">
            <v>0.00</v>
          </cell>
          <cell r="T18" t="str">
            <v>0</v>
          </cell>
          <cell r="V18" t="str">
            <v>0.00</v>
          </cell>
          <cell r="W18">
            <v>0</v>
          </cell>
          <cell r="Z18" t="str">
            <v>NO</v>
          </cell>
          <cell r="AA18" t="str">
            <v>NO</v>
          </cell>
          <cell r="AC18" t="str">
            <v>Sin Aprobar</v>
          </cell>
        </row>
        <row r="19">
          <cell r="A19">
            <v>434</v>
          </cell>
          <cell r="B19" t="str">
            <v>12-03-2026</v>
          </cell>
          <cell r="C19" t="str">
            <v>14-03-2026</v>
          </cell>
          <cell r="D19" t="str">
            <v>MSC EDNA</v>
          </cell>
          <cell r="E19" t="str">
            <v>MARITIMO</v>
          </cell>
          <cell r="F19" t="str">
            <v>TERRA EXPORTS</v>
          </cell>
          <cell r="G19" t="str">
            <v>FRUTAS VEGETALES Y TRANSPORTES SA DE CV - FRUVETSA</v>
          </cell>
          <cell r="H19" t="str">
            <v>MANZANAS</v>
          </cell>
          <cell r="I19" t="str">
            <v>GRANNY SMITH / ROYAL GALA /</v>
          </cell>
          <cell r="J19" t="str">
            <v>ALMAHUE EXPORT</v>
          </cell>
          <cell r="K19" t="str">
            <v>BAJO COND.</v>
          </cell>
          <cell r="L19" t="str">
            <v>FOB</v>
          </cell>
          <cell r="M19" t="str">
            <v>1029</v>
          </cell>
          <cell r="N19" t="str">
            <v>25210.50</v>
          </cell>
          <cell r="O19" t="str">
            <v>800.00</v>
          </cell>
          <cell r="P19" t="str">
            <v>0.00</v>
          </cell>
          <cell r="Q19" t="str">
            <v>23902.00</v>
          </cell>
          <cell r="R19">
            <v>1970</v>
          </cell>
          <cell r="S19" t="str">
            <v>23902.20</v>
          </cell>
          <cell r="T19" t="str">
            <v>21,846,133</v>
          </cell>
          <cell r="V19" t="str">
            <v>0.00</v>
          </cell>
          <cell r="W19">
            <v>0</v>
          </cell>
          <cell r="X19" t="str">
            <v>13349554-1</v>
          </cell>
          <cell r="Y19" t="str">
            <v>20-03-2026</v>
          </cell>
          <cell r="Z19" t="str">
            <v>SI</v>
          </cell>
          <cell r="AA19" t="str">
            <v>NO</v>
          </cell>
          <cell r="AB19" t="str">
            <v>16-10-2026</v>
          </cell>
          <cell r="AC19" t="str">
            <v>Sin Aprobar</v>
          </cell>
        </row>
        <row r="20">
          <cell r="A20">
            <v>433</v>
          </cell>
          <cell r="B20" t="str">
            <v>10-03-2026</v>
          </cell>
          <cell r="C20" t="str">
            <v>13-03-2026</v>
          </cell>
          <cell r="D20" t="str">
            <v>CARTAGENA EXPRESS</v>
          </cell>
          <cell r="E20" t="str">
            <v>VENTA NACIONAL</v>
          </cell>
          <cell r="F20" t="str">
            <v>EXPORTADORA FRUTAM LTDA.</v>
          </cell>
          <cell r="G20" t="str">
            <v>EXPORTADORA FRUTAM LTDA.</v>
          </cell>
          <cell r="H20" t="str">
            <v>MANZANAS</v>
          </cell>
          <cell r="I20" t="str">
            <v>GRANNY SMITH /</v>
          </cell>
          <cell r="J20" t="str">
            <v>ALMAHUE EXPORT</v>
          </cell>
          <cell r="K20" t="str">
            <v>BAJO COND.</v>
          </cell>
          <cell r="L20" t="str">
            <v>FOB</v>
          </cell>
          <cell r="M20" t="str">
            <v>1029</v>
          </cell>
          <cell r="N20" t="str">
            <v>28348950.00</v>
          </cell>
          <cell r="O20" t="str">
            <v>750000.00</v>
          </cell>
          <cell r="P20" t="str">
            <v>0.00</v>
          </cell>
          <cell r="Q20" t="str">
            <v>27491474.00</v>
          </cell>
          <cell r="S20" t="str">
            <v>0.00</v>
          </cell>
          <cell r="T20" t="str">
            <v>0</v>
          </cell>
          <cell r="V20" t="str">
            <v>0.00</v>
          </cell>
          <cell r="W20">
            <v>0</v>
          </cell>
          <cell r="Z20" t="str">
            <v>NO</v>
          </cell>
          <cell r="AA20" t="str">
            <v>NO</v>
          </cell>
          <cell r="AC20" t="str">
            <v>Sin Aprobar</v>
          </cell>
        </row>
        <row r="21">
          <cell r="A21">
            <v>432</v>
          </cell>
          <cell r="B21" t="str">
            <v>05-03-2026</v>
          </cell>
          <cell r="C21" t="str">
            <v>09-03-2026</v>
          </cell>
          <cell r="D21" t="str">
            <v>DUSSELDORF EXPRESS</v>
          </cell>
          <cell r="E21" t="str">
            <v>MARITIMO</v>
          </cell>
          <cell r="F21" t="str">
            <v>SEEDPLC</v>
          </cell>
          <cell r="G21" t="str">
            <v>SEEDPLC CIA. LTDA.</v>
          </cell>
          <cell r="H21" t="str">
            <v>MANZANAS</v>
          </cell>
          <cell r="I21" t="str">
            <v>GRANNY SMITH /</v>
          </cell>
          <cell r="J21" t="str">
            <v>ALMAHUE EXPORT</v>
          </cell>
          <cell r="K21" t="str">
            <v>BAJO COND.</v>
          </cell>
          <cell r="L21" t="str">
            <v>FOB</v>
          </cell>
          <cell r="M21" t="str">
            <v>1029</v>
          </cell>
          <cell r="N21" t="str">
            <v>22998.15</v>
          </cell>
          <cell r="O21" t="str">
            <v>650.00</v>
          </cell>
          <cell r="P21" t="str">
            <v>0.00</v>
          </cell>
          <cell r="Q21" t="str">
            <v>22089.15</v>
          </cell>
          <cell r="R21">
            <v>1971</v>
          </cell>
          <cell r="S21" t="str">
            <v>24696.00</v>
          </cell>
          <cell r="T21" t="str">
            <v>22,763,785</v>
          </cell>
          <cell r="U21" t="str">
            <v>487</v>
          </cell>
          <cell r="V21" t="str">
            <v>-26239.50</v>
          </cell>
          <cell r="W21">
            <v>-24186522</v>
          </cell>
          <cell r="X21" t="str">
            <v>13334656-2</v>
          </cell>
          <cell r="Y21" t="str">
            <v>19-03-2026</v>
          </cell>
          <cell r="Z21" t="str">
            <v>SI</v>
          </cell>
          <cell r="AA21" t="str">
            <v>NO</v>
          </cell>
          <cell r="AB21" t="str">
            <v>15-10-2026</v>
          </cell>
          <cell r="AC21" t="str">
            <v>Sin Aprobar</v>
          </cell>
        </row>
        <row r="22">
          <cell r="A22">
            <v>431</v>
          </cell>
          <cell r="B22" t="str">
            <v>04-03-2026</v>
          </cell>
          <cell r="C22" t="str">
            <v>09-03-2026</v>
          </cell>
          <cell r="D22" t="str">
            <v>COSCO ASIA</v>
          </cell>
          <cell r="E22" t="str">
            <v>MARITIMO</v>
          </cell>
          <cell r="F22" t="str">
            <v>ACUMEN</v>
          </cell>
          <cell r="G22" t="str">
            <v>COPSAYS, S.A DE C.V</v>
          </cell>
          <cell r="H22" t="str">
            <v>DURAZNOS</v>
          </cell>
          <cell r="I22" t="str">
            <v>ZEE LADY /</v>
          </cell>
          <cell r="J22" t="str">
            <v>ALMAHUE EXPORT</v>
          </cell>
          <cell r="K22" t="str">
            <v>CONS-LIBRE</v>
          </cell>
          <cell r="L22" t="str">
            <v>FOB</v>
          </cell>
          <cell r="M22" t="str">
            <v>1768</v>
          </cell>
          <cell r="N22" t="str">
            <v>54430.00</v>
          </cell>
          <cell r="O22" t="str">
            <v>4000.00</v>
          </cell>
          <cell r="P22" t="str">
            <v>0.00</v>
          </cell>
          <cell r="Q22" t="str">
            <v>37609.00</v>
          </cell>
          <cell r="R22">
            <v>1968</v>
          </cell>
          <cell r="S22" t="str">
            <v>10608.00</v>
          </cell>
          <cell r="T22" t="str">
            <v>9,720,747</v>
          </cell>
          <cell r="V22" t="str">
            <v>0.00</v>
          </cell>
          <cell r="W22">
            <v>0</v>
          </cell>
          <cell r="X22" t="str">
            <v>13332016-4</v>
          </cell>
          <cell r="Y22" t="str">
            <v>19-03-2026</v>
          </cell>
          <cell r="Z22" t="str">
            <v>SI</v>
          </cell>
          <cell r="AA22" t="str">
            <v>NO</v>
          </cell>
          <cell r="AB22" t="str">
            <v>15-10-2026</v>
          </cell>
          <cell r="AC22" t="str">
            <v>Sin Aprobar</v>
          </cell>
        </row>
        <row r="23">
          <cell r="A23">
            <v>430</v>
          </cell>
          <cell r="B23" t="str">
            <v>04-03-2026</v>
          </cell>
          <cell r="C23" t="str">
            <v>09-03-2026</v>
          </cell>
          <cell r="D23" t="str">
            <v>COSCO ASIA</v>
          </cell>
          <cell r="E23" t="str">
            <v>MARITIMO</v>
          </cell>
          <cell r="F23" t="str">
            <v>ACUMEN</v>
          </cell>
          <cell r="G23" t="str">
            <v>COPSAYS, S.A DE C.V</v>
          </cell>
          <cell r="H23" t="str">
            <v>DURAZNOS</v>
          </cell>
          <cell r="I23" t="str">
            <v>ZEE LADY /</v>
          </cell>
          <cell r="J23" t="str">
            <v>ALMAHUE EXPORT</v>
          </cell>
          <cell r="K23" t="str">
            <v>CONS-LIBRE</v>
          </cell>
          <cell r="L23" t="str">
            <v>FOB</v>
          </cell>
          <cell r="M23" t="str">
            <v>1784</v>
          </cell>
          <cell r="N23" t="str">
            <v>57976.00</v>
          </cell>
          <cell r="O23" t="str">
            <v>4000.00</v>
          </cell>
          <cell r="P23" t="str">
            <v>0.00</v>
          </cell>
          <cell r="Q23" t="str">
            <v>40856.40</v>
          </cell>
          <cell r="R23">
            <v>1967</v>
          </cell>
          <cell r="S23" t="str">
            <v>10704.00</v>
          </cell>
          <cell r="T23" t="str">
            <v>9,808,717</v>
          </cell>
          <cell r="V23" t="str">
            <v>0.00</v>
          </cell>
          <cell r="W23">
            <v>0</v>
          </cell>
          <cell r="X23" t="str">
            <v>13331999-9</v>
          </cell>
          <cell r="Y23" t="str">
            <v>19-03-2026</v>
          </cell>
          <cell r="Z23" t="str">
            <v>SI</v>
          </cell>
          <cell r="AA23" t="str">
            <v>NO</v>
          </cell>
          <cell r="AB23" t="str">
            <v>15-10-2026</v>
          </cell>
          <cell r="AC23" t="str">
            <v>Sin Aprobar</v>
          </cell>
        </row>
        <row r="24">
          <cell r="A24">
            <v>429</v>
          </cell>
          <cell r="B24" t="str">
            <v>11-03-2026</v>
          </cell>
          <cell r="C24" t="str">
            <v>16-03-2026</v>
          </cell>
          <cell r="D24" t="str">
            <v>POLAR PERU</v>
          </cell>
          <cell r="E24" t="str">
            <v>MARITIMO</v>
          </cell>
          <cell r="F24" t="str">
            <v>TERRA EXPORTS</v>
          </cell>
          <cell r="G24" t="str">
            <v>AGRO IBERICA S.A.</v>
          </cell>
          <cell r="H24" t="str">
            <v>MANZANAS</v>
          </cell>
          <cell r="I24" t="str">
            <v>GRANNY SMITH /</v>
          </cell>
          <cell r="J24" t="str">
            <v>ALMAHUE EXPORT</v>
          </cell>
          <cell r="K24" t="str">
            <v>BAJO COND.</v>
          </cell>
          <cell r="L24" t="str">
            <v>FOB</v>
          </cell>
          <cell r="M24" t="str">
            <v>1029</v>
          </cell>
          <cell r="N24" t="str">
            <v>25570.65</v>
          </cell>
          <cell r="O24" t="str">
            <v>699.00</v>
          </cell>
          <cell r="P24" t="str">
            <v>0.00</v>
          </cell>
          <cell r="Q24" t="str">
            <v>24490.20</v>
          </cell>
          <cell r="R24">
            <v>1969</v>
          </cell>
          <cell r="S24" t="str">
            <v>24490.20</v>
          </cell>
          <cell r="T24" t="str">
            <v>22,383,798</v>
          </cell>
          <cell r="V24" t="str">
            <v>0.00</v>
          </cell>
          <cell r="W24">
            <v>0</v>
          </cell>
          <cell r="X24" t="str">
            <v>13348157-5</v>
          </cell>
          <cell r="Y24" t="str">
            <v>20-03-2026</v>
          </cell>
          <cell r="Z24" t="str">
            <v>SI</v>
          </cell>
          <cell r="AA24" t="str">
            <v>NO</v>
          </cell>
          <cell r="AB24" t="str">
            <v>16-10-2026</v>
          </cell>
          <cell r="AC24" t="str">
            <v>Sin Aprobar</v>
          </cell>
        </row>
        <row r="25">
          <cell r="A25">
            <v>428</v>
          </cell>
          <cell r="B25" t="str">
            <v>03-03-2026</v>
          </cell>
          <cell r="C25" t="str">
            <v>10-03-2026</v>
          </cell>
          <cell r="D25" t="str">
            <v>MSC EMILIA</v>
          </cell>
          <cell r="E25" t="str">
            <v>MARITIMO</v>
          </cell>
          <cell r="F25" t="str">
            <v>TERRA EXPORTS</v>
          </cell>
          <cell r="G25" t="str">
            <v>FRUTAS VEGETALES Y TRANSPORTES SA DE CV - FRUVETSA</v>
          </cell>
          <cell r="H25" t="str">
            <v>MANZANAS</v>
          </cell>
          <cell r="I25" t="str">
            <v>GRANNY SMITH / ROYAL GALA /</v>
          </cell>
          <cell r="J25" t="str">
            <v>ALMAHUE EXPORT</v>
          </cell>
          <cell r="K25" t="str">
            <v>BAJO COND.</v>
          </cell>
          <cell r="L25" t="str">
            <v>FOB</v>
          </cell>
          <cell r="M25" t="str">
            <v>1029</v>
          </cell>
          <cell r="N25" t="str">
            <v>25425.80</v>
          </cell>
          <cell r="O25" t="str">
            <v>800.00</v>
          </cell>
          <cell r="P25" t="str">
            <v>0.00</v>
          </cell>
          <cell r="Q25" t="str">
            <v>24245.20</v>
          </cell>
          <cell r="R25">
            <v>1966</v>
          </cell>
          <cell r="S25" t="str">
            <v>24245.20</v>
          </cell>
          <cell r="T25" t="str">
            <v>22,217,331</v>
          </cell>
          <cell r="V25" t="str">
            <v>0.00</v>
          </cell>
          <cell r="W25">
            <v>0</v>
          </cell>
          <cell r="X25" t="str">
            <v>13330051-1</v>
          </cell>
          <cell r="Y25" t="str">
            <v>19-03-2026</v>
          </cell>
          <cell r="Z25" t="str">
            <v>SI</v>
          </cell>
          <cell r="AA25" t="str">
            <v>NO</v>
          </cell>
          <cell r="AB25" t="str">
            <v>15-10-2026</v>
          </cell>
          <cell r="AC25" t="str">
            <v>Sin Aprobar</v>
          </cell>
        </row>
        <row r="26">
          <cell r="A26">
            <v>427</v>
          </cell>
          <cell r="B26" t="str">
            <v>02-03-2026</v>
          </cell>
          <cell r="C26" t="str">
            <v>06-03-2026</v>
          </cell>
          <cell r="D26" t="str">
            <v>VALPARAISO EXPRESS</v>
          </cell>
          <cell r="E26" t="str">
            <v>VENTA NACIONAL</v>
          </cell>
          <cell r="F26" t="str">
            <v>EXPORTADORA FRUTAM LTDA.</v>
          </cell>
          <cell r="G26" t="str">
            <v>EXPORTADORA FRUTAM LTDA.</v>
          </cell>
          <cell r="H26" t="str">
            <v>MANZANAS</v>
          </cell>
          <cell r="I26" t="str">
            <v>GRANNY SMITH /</v>
          </cell>
          <cell r="J26" t="str">
            <v>ALMAHUE EXPORT</v>
          </cell>
          <cell r="K26" t="str">
            <v>CONS-LIBRE</v>
          </cell>
          <cell r="L26" t="str">
            <v>FOB</v>
          </cell>
          <cell r="M26" t="str">
            <v>1029</v>
          </cell>
          <cell r="N26" t="str">
            <v>27011250.00</v>
          </cell>
          <cell r="O26" t="str">
            <v>750000.00</v>
          </cell>
          <cell r="P26" t="str">
            <v>0.00</v>
          </cell>
          <cell r="Q26" t="str">
            <v>26143289.00</v>
          </cell>
          <cell r="S26" t="str">
            <v>0.00</v>
          </cell>
          <cell r="T26" t="str">
            <v>0</v>
          </cell>
          <cell r="V26" t="str">
            <v>0.00</v>
          </cell>
          <cell r="W26">
            <v>0</v>
          </cell>
          <cell r="Z26" t="str">
            <v>NO</v>
          </cell>
          <cell r="AA26" t="str">
            <v>NO</v>
          </cell>
          <cell r="AC26" t="str">
            <v>Sin Aprobar</v>
          </cell>
        </row>
        <row r="27">
          <cell r="A27">
            <v>426</v>
          </cell>
          <cell r="B27" t="str">
            <v>28-02-2026</v>
          </cell>
          <cell r="C27" t="str">
            <v>03-03-2026</v>
          </cell>
          <cell r="D27" t="str">
            <v>EVER LOYAL</v>
          </cell>
          <cell r="E27" t="str">
            <v>MARITIMO</v>
          </cell>
          <cell r="F27" t="str">
            <v>HUASHENG</v>
          </cell>
          <cell r="G27" t="str">
            <v>CHUN WAN YI (GUANGZHOU) SUPPLY CHAIN MANAGEMENT CO., LTD</v>
          </cell>
          <cell r="H27" t="str">
            <v>CIRUELAS</v>
          </cell>
          <cell r="I27" t="str">
            <v>BLACK MAGIC /</v>
          </cell>
          <cell r="J27" t="str">
            <v>ALMAHUE EXPORT</v>
          </cell>
          <cell r="K27" t="str">
            <v>CONS-LIBRE</v>
          </cell>
          <cell r="L27" t="str">
            <v>FOB</v>
          </cell>
          <cell r="M27" t="str">
            <v>2400</v>
          </cell>
          <cell r="N27" t="str">
            <v>23259.23</v>
          </cell>
          <cell r="O27" t="str">
            <v>5572.70</v>
          </cell>
          <cell r="P27" t="str">
            <v>0.00</v>
          </cell>
          <cell r="Q27" t="str">
            <v>10641.30</v>
          </cell>
          <cell r="R27">
            <v>1964</v>
          </cell>
          <cell r="S27" t="str">
            <v>14400.00</v>
          </cell>
          <cell r="T27" t="str">
            <v>12,732,624</v>
          </cell>
          <cell r="V27" t="str">
            <v>0.00</v>
          </cell>
          <cell r="W27">
            <v>0</v>
          </cell>
          <cell r="X27" t="str">
            <v>13325639-3</v>
          </cell>
          <cell r="Y27" t="str">
            <v>19-03-2026</v>
          </cell>
          <cell r="Z27" t="str">
            <v>SI</v>
          </cell>
          <cell r="AA27" t="str">
            <v>NO</v>
          </cell>
          <cell r="AB27" t="str">
            <v>15-10-2026</v>
          </cell>
          <cell r="AC27" t="str">
            <v>Sin Aprobar</v>
          </cell>
        </row>
        <row r="28">
          <cell r="A28">
            <v>425</v>
          </cell>
          <cell r="B28" t="str">
            <v>27-02-2026</v>
          </cell>
          <cell r="C28" t="str">
            <v>02-03-2026</v>
          </cell>
          <cell r="D28" t="str">
            <v>COSCO AMERICA</v>
          </cell>
          <cell r="E28" t="str">
            <v>MARITIMO</v>
          </cell>
          <cell r="F28" t="str">
            <v>ACUMEN</v>
          </cell>
          <cell r="G28" t="str">
            <v>COPSAYS, S.A DE C.V</v>
          </cell>
          <cell r="H28" t="str">
            <v>DURAZNOS</v>
          </cell>
          <cell r="I28" t="str">
            <v>SPRING BEAUTY /</v>
          </cell>
          <cell r="J28" t="str">
            <v>ALMAHUE EXPORT</v>
          </cell>
          <cell r="K28" t="str">
            <v>CONS-LIBRE</v>
          </cell>
          <cell r="L28" t="str">
            <v>FOB</v>
          </cell>
          <cell r="M28" t="str">
            <v>1800</v>
          </cell>
          <cell r="N28" t="str">
            <v>63540.00</v>
          </cell>
          <cell r="O28" t="str">
            <v>4000.00</v>
          </cell>
          <cell r="P28" t="str">
            <v>0.00</v>
          </cell>
          <cell r="Q28" t="str">
            <v>44100.00</v>
          </cell>
          <cell r="R28">
            <v>1962</v>
          </cell>
          <cell r="S28" t="str">
            <v>10800.00</v>
          </cell>
          <cell r="T28" t="str">
            <v>9,411,228</v>
          </cell>
          <cell r="V28" t="str">
            <v>0.00</v>
          </cell>
          <cell r="W28">
            <v>0</v>
          </cell>
          <cell r="X28" t="str">
            <v>13322615-K</v>
          </cell>
          <cell r="Y28" t="str">
            <v>19-03-2026</v>
          </cell>
          <cell r="Z28" t="str">
            <v>SI</v>
          </cell>
          <cell r="AA28" t="str">
            <v>NO</v>
          </cell>
          <cell r="AB28" t="str">
            <v>15-10-2026</v>
          </cell>
          <cell r="AC28" t="str">
            <v>Sin Aprobar</v>
          </cell>
        </row>
        <row r="29">
          <cell r="A29">
            <v>424</v>
          </cell>
          <cell r="B29" t="str">
            <v>27-02-2026</v>
          </cell>
          <cell r="C29" t="str">
            <v>02-03-2026</v>
          </cell>
          <cell r="D29" t="str">
            <v>COSCO AMERICA</v>
          </cell>
          <cell r="E29" t="str">
            <v>MARITIMO</v>
          </cell>
          <cell r="F29" t="str">
            <v>ACUMEN</v>
          </cell>
          <cell r="G29" t="str">
            <v>COPSAYS, S.A DE C.V</v>
          </cell>
          <cell r="H29" t="str">
            <v>DURAZNOS</v>
          </cell>
          <cell r="I29" t="str">
            <v>SPRING BEAUTY /</v>
          </cell>
          <cell r="J29" t="str">
            <v>ALMAHUE EXPORT</v>
          </cell>
          <cell r="K29" t="str">
            <v>CONS-LIBRE</v>
          </cell>
          <cell r="L29" t="str">
            <v>FOB</v>
          </cell>
          <cell r="M29" t="str">
            <v>1800</v>
          </cell>
          <cell r="N29" t="str">
            <v>60801.50</v>
          </cell>
          <cell r="O29" t="str">
            <v>4000.00</v>
          </cell>
          <cell r="P29" t="str">
            <v>0.00</v>
          </cell>
          <cell r="Q29" t="str">
            <v>41023.35</v>
          </cell>
          <cell r="R29">
            <v>1961</v>
          </cell>
          <cell r="S29" t="str">
            <v>10800.00</v>
          </cell>
          <cell r="T29" t="str">
            <v>9,411,228</v>
          </cell>
          <cell r="V29" t="str">
            <v>0.00</v>
          </cell>
          <cell r="W29">
            <v>0</v>
          </cell>
          <cell r="X29" t="str">
            <v>13322596-K</v>
          </cell>
          <cell r="Y29" t="str">
            <v>19-03-2026</v>
          </cell>
          <cell r="Z29" t="str">
            <v>SI</v>
          </cell>
          <cell r="AA29" t="str">
            <v>NO</v>
          </cell>
          <cell r="AB29" t="str">
            <v>15-10-2026</v>
          </cell>
          <cell r="AC29" t="str">
            <v>Sin Aprobar</v>
          </cell>
        </row>
        <row r="30">
          <cell r="A30">
            <v>423</v>
          </cell>
          <cell r="B30" t="str">
            <v>26-02-2026</v>
          </cell>
          <cell r="C30" t="str">
            <v>03-03-2026</v>
          </cell>
          <cell r="D30" t="str">
            <v>EVER LOYAL</v>
          </cell>
          <cell r="E30" t="str">
            <v>MARITIMO</v>
          </cell>
          <cell r="F30" t="str">
            <v>KINGO</v>
          </cell>
          <cell r="G30" t="str">
            <v>KINGO SHANGHAI CO.,LTD.</v>
          </cell>
          <cell r="H30" t="str">
            <v>CIRUELAS</v>
          </cell>
          <cell r="I30" t="str">
            <v>BLACK MAGIC /</v>
          </cell>
          <cell r="J30" t="str">
            <v>ALMAHUE EXPORT</v>
          </cell>
          <cell r="K30" t="str">
            <v>CONS-LIBRE</v>
          </cell>
          <cell r="L30" t="str">
            <v>FOB</v>
          </cell>
          <cell r="M30" t="str">
            <v>2400</v>
          </cell>
          <cell r="N30" t="str">
            <v>116675.76</v>
          </cell>
          <cell r="O30" t="str">
            <v>38154.05</v>
          </cell>
          <cell r="P30" t="str">
            <v>0.00</v>
          </cell>
          <cell r="Q30" t="str">
            <v>20987.87</v>
          </cell>
          <cell r="R30">
            <v>1963</v>
          </cell>
          <cell r="S30" t="str">
            <v>14400.00</v>
          </cell>
          <cell r="T30" t="str">
            <v>12,732,624</v>
          </cell>
          <cell r="V30" t="str">
            <v>0.00</v>
          </cell>
          <cell r="W30">
            <v>0</v>
          </cell>
          <cell r="X30" t="str">
            <v>13319688-9</v>
          </cell>
          <cell r="Y30" t="str">
            <v>19-03-2026</v>
          </cell>
          <cell r="Z30" t="str">
            <v>SI</v>
          </cell>
          <cell r="AA30" t="str">
            <v>NO</v>
          </cell>
          <cell r="AB30" t="str">
            <v>15-10-2026</v>
          </cell>
          <cell r="AC30" t="str">
            <v>Sin Aprobar</v>
          </cell>
        </row>
        <row r="31">
          <cell r="A31">
            <v>422</v>
          </cell>
          <cell r="B31" t="str">
            <v>25-02-2026</v>
          </cell>
          <cell r="C31" t="str">
            <v>28-02-2026</v>
          </cell>
          <cell r="D31" t="str">
            <v>CMA CGM WHITE</v>
          </cell>
          <cell r="E31" t="str">
            <v>MARITIMO</v>
          </cell>
          <cell r="F31" t="str">
            <v>SEEDPLC</v>
          </cell>
          <cell r="G31" t="str">
            <v>SEEDPLC CIA. LTDA.</v>
          </cell>
          <cell r="H31" t="str">
            <v>MANZANAS</v>
          </cell>
          <cell r="I31" t="str">
            <v>GRANNY SMITH /</v>
          </cell>
          <cell r="J31" t="str">
            <v>ALMAHUE EXPORT</v>
          </cell>
          <cell r="K31" t="str">
            <v>BAJO COND.</v>
          </cell>
          <cell r="L31" t="str">
            <v>FOB</v>
          </cell>
          <cell r="M31" t="str">
            <v>1029</v>
          </cell>
          <cell r="N31" t="str">
            <v>27525.75</v>
          </cell>
          <cell r="O31" t="str">
            <v>800.00</v>
          </cell>
          <cell r="P31" t="str">
            <v>0.00</v>
          </cell>
          <cell r="Q31" t="str">
            <v>26239.50</v>
          </cell>
          <cell r="R31">
            <v>1960</v>
          </cell>
          <cell r="S31" t="str">
            <v>26239.50</v>
          </cell>
          <cell r="T31" t="str">
            <v>22,597,195</v>
          </cell>
          <cell r="V31" t="str">
            <v>0.00</v>
          </cell>
          <cell r="W31">
            <v>0</v>
          </cell>
          <cell r="X31" t="str">
            <v>13316801-K</v>
          </cell>
          <cell r="Y31" t="str">
            <v>13-03-2026</v>
          </cell>
          <cell r="Z31" t="str">
            <v>SI</v>
          </cell>
          <cell r="AA31" t="str">
            <v>NO</v>
          </cell>
          <cell r="AB31" t="str">
            <v>09-10-2026</v>
          </cell>
          <cell r="AC31" t="str">
            <v>Sin Aprobar</v>
          </cell>
        </row>
        <row r="32">
          <cell r="A32">
            <v>421</v>
          </cell>
          <cell r="B32" t="str">
            <v>21-02-2026</v>
          </cell>
          <cell r="C32" t="str">
            <v>24-02-2026</v>
          </cell>
          <cell r="D32" t="str">
            <v>EVER LISSOME</v>
          </cell>
          <cell r="E32" t="str">
            <v>MARITIMO</v>
          </cell>
          <cell r="F32" t="str">
            <v>HUASHENG</v>
          </cell>
          <cell r="G32" t="str">
            <v>CHUN WAN YI (GUANGZHOU) SUPPLY CHAIN MANAGEMENT CO., LTD</v>
          </cell>
          <cell r="H32" t="str">
            <v>CIRUELAS</v>
          </cell>
          <cell r="I32" t="str">
            <v>BLACK MAGIC /</v>
          </cell>
          <cell r="J32" t="str">
            <v>ALMAHUE EXPORT</v>
          </cell>
          <cell r="K32" t="str">
            <v>CONS-LIBRE</v>
          </cell>
          <cell r="L32" t="str">
            <v>FOB</v>
          </cell>
          <cell r="M32" t="str">
            <v>2400</v>
          </cell>
          <cell r="N32" t="str">
            <v>20286.32</v>
          </cell>
          <cell r="O32" t="str">
            <v>5572.70</v>
          </cell>
          <cell r="P32" t="str">
            <v>0.00</v>
          </cell>
          <cell r="Q32" t="str">
            <v>7864.27</v>
          </cell>
          <cell r="R32">
            <v>1959</v>
          </cell>
          <cell r="S32" t="str">
            <v>12000.00</v>
          </cell>
          <cell r="T32" t="str">
            <v>10,407,480</v>
          </cell>
          <cell r="V32" t="str">
            <v>0.00</v>
          </cell>
          <cell r="W32">
            <v>0</v>
          </cell>
          <cell r="X32" t="str">
            <v>13308543-2</v>
          </cell>
          <cell r="Y32" t="str">
            <v>13-03-2026</v>
          </cell>
          <cell r="Z32" t="str">
            <v>SI</v>
          </cell>
          <cell r="AA32" t="str">
            <v>NO</v>
          </cell>
          <cell r="AB32" t="str">
            <v>09-10-2026</v>
          </cell>
          <cell r="AC32" t="str">
            <v>Sin Aprobar</v>
          </cell>
        </row>
        <row r="33">
          <cell r="A33">
            <v>420</v>
          </cell>
          <cell r="B33" t="str">
            <v>20-02-2026</v>
          </cell>
          <cell r="C33" t="str">
            <v>24-02-2026</v>
          </cell>
          <cell r="D33" t="str">
            <v>EVER LISSOME</v>
          </cell>
          <cell r="E33" t="str">
            <v>MARITIMO</v>
          </cell>
          <cell r="F33" t="str">
            <v>KINGO</v>
          </cell>
          <cell r="G33" t="str">
            <v>KINGO SHANGHAI CO.,LTD.</v>
          </cell>
          <cell r="H33" t="str">
            <v>CIRUELAS</v>
          </cell>
          <cell r="I33" t="str">
            <v>BLACK MAGIC /</v>
          </cell>
          <cell r="J33" t="str">
            <v>ALMAHUE EXPORT</v>
          </cell>
          <cell r="K33" t="str">
            <v>CONS-LIBRE</v>
          </cell>
          <cell r="L33" t="str">
            <v>FOB</v>
          </cell>
          <cell r="M33" t="str">
            <v>2400</v>
          </cell>
          <cell r="N33" t="str">
            <v>130415.91</v>
          </cell>
          <cell r="O33" t="str">
            <v>38088.60</v>
          </cell>
          <cell r="P33" t="str">
            <v>0.00</v>
          </cell>
          <cell r="Q33" t="str">
            <v>44560.62</v>
          </cell>
          <cell r="R33">
            <v>1958</v>
          </cell>
          <cell r="S33" t="str">
            <v>12000.00</v>
          </cell>
          <cell r="T33" t="str">
            <v>10,407,480</v>
          </cell>
          <cell r="V33" t="str">
            <v>0.00</v>
          </cell>
          <cell r="W33">
            <v>0</v>
          </cell>
          <cell r="X33" t="str">
            <v>13308533-5</v>
          </cell>
          <cell r="Y33" t="str">
            <v>13-03-2026</v>
          </cell>
          <cell r="Z33" t="str">
            <v>SI</v>
          </cell>
          <cell r="AA33" t="str">
            <v>NO</v>
          </cell>
          <cell r="AB33" t="str">
            <v>09-10-2026</v>
          </cell>
          <cell r="AC33" t="str">
            <v>Sin Aprobar</v>
          </cell>
        </row>
        <row r="34">
          <cell r="A34">
            <v>419</v>
          </cell>
          <cell r="B34" t="str">
            <v>10-02-2026</v>
          </cell>
          <cell r="C34" t="str">
            <v>13-02-2026</v>
          </cell>
          <cell r="D34" t="str">
            <v>MANZANILLO EXPRESS</v>
          </cell>
          <cell r="E34" t="str">
            <v>MARITIMO</v>
          </cell>
          <cell r="F34" t="str">
            <v>HUASHENG</v>
          </cell>
          <cell r="G34" t="str">
            <v>CHUN WAN YI (GUANGZHOU) SUPPLY CHAIN MANAGEMENT CO., LTD</v>
          </cell>
          <cell r="H34" t="str">
            <v>DAGEN</v>
          </cell>
          <cell r="I34" t="str">
            <v>DAGEN /</v>
          </cell>
          <cell r="J34" t="str">
            <v>ALMAHUE EXPORT</v>
          </cell>
          <cell r="K34" t="str">
            <v>CONS-LIBRE</v>
          </cell>
          <cell r="L34" t="str">
            <v>FOB</v>
          </cell>
          <cell r="M34" t="str">
            <v>2240</v>
          </cell>
          <cell r="N34" t="str">
            <v>32217.41</v>
          </cell>
          <cell r="O34" t="str">
            <v>6920.00</v>
          </cell>
          <cell r="P34" t="str">
            <v>0.00</v>
          </cell>
          <cell r="Q34" t="str">
            <v>16202.51</v>
          </cell>
          <cell r="R34">
            <v>1956</v>
          </cell>
          <cell r="S34" t="str">
            <v>15680.00</v>
          </cell>
          <cell r="T34" t="str">
            <v>13,397,149</v>
          </cell>
          <cell r="V34" t="str">
            <v>0.00</v>
          </cell>
          <cell r="W34">
            <v>0</v>
          </cell>
          <cell r="X34" t="str">
            <v>13285271-5</v>
          </cell>
          <cell r="Y34" t="str">
            <v>26-02-2026</v>
          </cell>
          <cell r="Z34" t="str">
            <v>SI</v>
          </cell>
          <cell r="AA34" t="str">
            <v>NO</v>
          </cell>
          <cell r="AB34" t="str">
            <v>24-09-2026</v>
          </cell>
          <cell r="AC34" t="str">
            <v>Sin Aprobar</v>
          </cell>
        </row>
        <row r="35">
          <cell r="A35">
            <v>418</v>
          </cell>
          <cell r="B35" t="str">
            <v>09-02-2026</v>
          </cell>
          <cell r="C35" t="str">
            <v>11-02-2026</v>
          </cell>
          <cell r="D35" t="str">
            <v>CHARLOTTE MAERSK</v>
          </cell>
          <cell r="E35" t="str">
            <v>MARITIMO</v>
          </cell>
          <cell r="F35" t="str">
            <v>HING LEE</v>
          </cell>
          <cell r="G35" t="str">
            <v>SHENZHEN JINSHUN'AN INTERNATIONAL FREIGHT FORWARDING CO.,LTD</v>
          </cell>
          <cell r="H35" t="str">
            <v>DAGEN</v>
          </cell>
          <cell r="I35" t="str">
            <v>DAGEN /</v>
          </cell>
          <cell r="J35" t="str">
            <v>ALMAHUE EXPORT</v>
          </cell>
          <cell r="K35" t="str">
            <v>CONS-LIBRE</v>
          </cell>
          <cell r="L35" t="str">
            <v>FOB</v>
          </cell>
          <cell r="M35" t="str">
            <v>2273</v>
          </cell>
          <cell r="N35" t="str">
            <v>35511.06</v>
          </cell>
          <cell r="O35" t="str">
            <v>7952.00</v>
          </cell>
          <cell r="P35" t="str">
            <v>0.00</v>
          </cell>
          <cell r="Q35" t="str">
            <v>19113.40</v>
          </cell>
          <cell r="R35">
            <v>1955</v>
          </cell>
          <cell r="S35" t="str">
            <v>15911.00</v>
          </cell>
          <cell r="T35" t="str">
            <v>13,620,771</v>
          </cell>
          <cell r="V35" t="str">
            <v>0.00</v>
          </cell>
          <cell r="W35">
            <v>0</v>
          </cell>
          <cell r="X35" t="str">
            <v>13283882-8</v>
          </cell>
          <cell r="Y35" t="str">
            <v>02-03-2026</v>
          </cell>
          <cell r="Z35" t="str">
            <v>SI</v>
          </cell>
          <cell r="AA35" t="str">
            <v>NO</v>
          </cell>
          <cell r="AB35" t="str">
            <v>28-09-2026</v>
          </cell>
          <cell r="AC35" t="str">
            <v>Sin Aprobar</v>
          </cell>
        </row>
        <row r="36">
          <cell r="A36">
            <v>417</v>
          </cell>
          <cell r="B36" t="str">
            <v>09-02-2026</v>
          </cell>
          <cell r="C36" t="str">
            <v>11-02-2026</v>
          </cell>
          <cell r="D36" t="str">
            <v>CHARLOTTE MAERSK</v>
          </cell>
          <cell r="E36" t="str">
            <v>MARITIMO</v>
          </cell>
          <cell r="F36" t="str">
            <v>KINGO</v>
          </cell>
          <cell r="G36" t="str">
            <v>KINGO SHANGHAI CO.,LTD.</v>
          </cell>
          <cell r="H36" t="str">
            <v>DAGEN</v>
          </cell>
          <cell r="I36" t="str">
            <v>DAGEN /</v>
          </cell>
          <cell r="J36" t="str">
            <v>ALMAHUE EXPORT</v>
          </cell>
          <cell r="K36" t="str">
            <v>CONS-LIBRE</v>
          </cell>
          <cell r="L36" t="str">
            <v>FOB</v>
          </cell>
          <cell r="M36" t="str">
            <v>2352</v>
          </cell>
          <cell r="N36" t="str">
            <v>286730.90</v>
          </cell>
          <cell r="O36" t="str">
            <v>53427.03</v>
          </cell>
          <cell r="P36" t="str">
            <v>0.00</v>
          </cell>
          <cell r="Q36" t="str">
            <v>163747.22</v>
          </cell>
          <cell r="R36">
            <v>1954</v>
          </cell>
          <cell r="S36" t="str">
            <v>16464.00</v>
          </cell>
          <cell r="T36" t="str">
            <v>14,094,172</v>
          </cell>
          <cell r="V36" t="str">
            <v>0.00</v>
          </cell>
          <cell r="W36">
            <v>0</v>
          </cell>
          <cell r="X36" t="str">
            <v>13283881-K</v>
          </cell>
          <cell r="Y36" t="str">
            <v>27-02-2026</v>
          </cell>
          <cell r="Z36" t="str">
            <v>SI</v>
          </cell>
          <cell r="AA36" t="str">
            <v>NO</v>
          </cell>
          <cell r="AB36" t="str">
            <v>25-09-2026</v>
          </cell>
          <cell r="AC36" t="str">
            <v>Sin Aprobar</v>
          </cell>
        </row>
        <row r="37">
          <cell r="A37">
            <v>416</v>
          </cell>
          <cell r="B37" t="str">
            <v>07-02-2026</v>
          </cell>
          <cell r="C37" t="str">
            <v>09-02-2026</v>
          </cell>
          <cell r="D37" t="str">
            <v>MSC JUSTICE VIII</v>
          </cell>
          <cell r="E37" t="str">
            <v>MARITIMO</v>
          </cell>
          <cell r="F37" t="str">
            <v>FRUITCEO CO.,LIMITED</v>
          </cell>
          <cell r="G37" t="str">
            <v>SHANGHAI HUI ZHAN INTERNATIONAL TRADE CO., LTD</v>
          </cell>
          <cell r="H37" t="str">
            <v>DAGEN</v>
          </cell>
          <cell r="I37" t="str">
            <v>DAGEN /</v>
          </cell>
          <cell r="J37" t="str">
            <v>ALMAHUE EXPORT</v>
          </cell>
          <cell r="K37" t="str">
            <v>CONS-LIBRE</v>
          </cell>
          <cell r="L37" t="str">
            <v>FOB</v>
          </cell>
          <cell r="M37" t="str">
            <v>2496</v>
          </cell>
          <cell r="N37" t="str">
            <v>360420.08</v>
          </cell>
          <cell r="O37" t="str">
            <v>48181.73</v>
          </cell>
          <cell r="P37" t="str">
            <v>0.00</v>
          </cell>
          <cell r="Q37" t="str">
            <v>234936.94</v>
          </cell>
          <cell r="R37">
            <v>1951</v>
          </cell>
          <cell r="S37" t="str">
            <v>17472.00</v>
          </cell>
          <cell r="T37" t="str">
            <v>15,019,980</v>
          </cell>
          <cell r="V37" t="str">
            <v>0.00</v>
          </cell>
          <cell r="W37">
            <v>0</v>
          </cell>
          <cell r="X37" t="str">
            <v>13281433-3</v>
          </cell>
          <cell r="Y37" t="str">
            <v>18-02-2026</v>
          </cell>
          <cell r="Z37" t="str">
            <v>SI</v>
          </cell>
          <cell r="AA37" t="str">
            <v>NO</v>
          </cell>
          <cell r="AB37" t="str">
            <v>16-09-2026</v>
          </cell>
          <cell r="AC37" t="str">
            <v>Sin Aprobar</v>
          </cell>
        </row>
        <row r="38">
          <cell r="A38">
            <v>415</v>
          </cell>
          <cell r="B38" t="str">
            <v>07-02-2026</v>
          </cell>
          <cell r="C38" t="str">
            <v>09-02-2026</v>
          </cell>
          <cell r="D38" t="str">
            <v>MSC JUSTICE VIII</v>
          </cell>
          <cell r="E38" t="str">
            <v>MARITIMO</v>
          </cell>
          <cell r="F38" t="str">
            <v>XINGWAN</v>
          </cell>
          <cell r="G38" t="str">
            <v>ZHEJIANG OHENG IMPORT &amp; EXPORT CO.,LTD.</v>
          </cell>
          <cell r="H38" t="str">
            <v>DAGEN</v>
          </cell>
          <cell r="I38" t="str">
            <v>DAGEN /</v>
          </cell>
          <cell r="J38" t="str">
            <v>ALMAHUE EXPORT</v>
          </cell>
          <cell r="K38" t="str">
            <v>CONS-LIBRE</v>
          </cell>
          <cell r="L38" t="str">
            <v>FOB</v>
          </cell>
          <cell r="M38" t="str">
            <v>2496</v>
          </cell>
          <cell r="N38" t="str">
            <v>354120.00</v>
          </cell>
          <cell r="O38" t="str">
            <v>48101.46</v>
          </cell>
          <cell r="P38" t="str">
            <v>0.00</v>
          </cell>
          <cell r="Q38" t="str">
            <v>239500.54</v>
          </cell>
          <cell r="R38">
            <v>1950</v>
          </cell>
          <cell r="S38" t="str">
            <v>17472.00</v>
          </cell>
          <cell r="T38" t="str">
            <v>15,019,980</v>
          </cell>
          <cell r="V38" t="str">
            <v>0.00</v>
          </cell>
          <cell r="W38">
            <v>0</v>
          </cell>
          <cell r="X38" t="str">
            <v>13281374-4</v>
          </cell>
          <cell r="Y38" t="str">
            <v>18-02-2026</v>
          </cell>
          <cell r="Z38" t="str">
            <v>SI</v>
          </cell>
          <cell r="AA38" t="str">
            <v>NO</v>
          </cell>
          <cell r="AB38" t="str">
            <v>16-09-2026</v>
          </cell>
          <cell r="AC38" t="str">
            <v>Sin Aprobar</v>
          </cell>
        </row>
        <row r="39">
          <cell r="A39">
            <v>414</v>
          </cell>
          <cell r="B39" t="str">
            <v>10-02-2026</v>
          </cell>
          <cell r="C39" t="str">
            <v>13-02-2026</v>
          </cell>
          <cell r="D39" t="str">
            <v>CALLAO EXPRESS</v>
          </cell>
          <cell r="E39" t="str">
            <v>VENTA NACIONAL</v>
          </cell>
          <cell r="F39" t="str">
            <v>EXPORTADORA FRUTAM LTDA.</v>
          </cell>
          <cell r="G39" t="str">
            <v>EXPORTADORA FRUTAM LTDA.</v>
          </cell>
          <cell r="H39" t="str">
            <v>MANZANAS</v>
          </cell>
          <cell r="I39" t="str">
            <v>ROYAL GALA /</v>
          </cell>
          <cell r="J39" t="str">
            <v>ALMAHUE EXPORT</v>
          </cell>
          <cell r="K39" t="str">
            <v>BAJO COND.</v>
          </cell>
          <cell r="L39" t="str">
            <v>FOB</v>
          </cell>
          <cell r="M39" t="str">
            <v>1029</v>
          </cell>
          <cell r="N39" t="str">
            <v>25315500.00</v>
          </cell>
          <cell r="O39" t="str">
            <v>750000.00</v>
          </cell>
          <cell r="P39" t="str">
            <v>0.00</v>
          </cell>
          <cell r="Q39" t="str">
            <v>24407750.00</v>
          </cell>
          <cell r="S39" t="str">
            <v>0.00</v>
          </cell>
          <cell r="T39" t="str">
            <v>0</v>
          </cell>
          <cell r="V39" t="str">
            <v>0.00</v>
          </cell>
          <cell r="W39">
            <v>0</v>
          </cell>
          <cell r="Z39" t="str">
            <v>NO</v>
          </cell>
          <cell r="AA39" t="str">
            <v>NO</v>
          </cell>
          <cell r="AC39" t="str">
            <v>Sin Aprobar</v>
          </cell>
        </row>
        <row r="40">
          <cell r="A40">
            <v>413</v>
          </cell>
          <cell r="B40" t="str">
            <v>19-02-2026</v>
          </cell>
          <cell r="C40" t="str">
            <v>22-02-2026</v>
          </cell>
          <cell r="D40" t="str">
            <v>MSC ALANYA</v>
          </cell>
          <cell r="E40" t="str">
            <v>VENTA NACIONAL</v>
          </cell>
          <cell r="F40" t="str">
            <v>COMERCIAL SANTA CLARA S.A.</v>
          </cell>
          <cell r="G40" t="str">
            <v>INVERSIONES ANA MARÍA ESPEJO S.A.S.</v>
          </cell>
          <cell r="H40" t="str">
            <v>MANZANAS</v>
          </cell>
          <cell r="I40" t="str">
            <v>ROYAL GALA /</v>
          </cell>
          <cell r="J40" t="str">
            <v>ALMAHUE EXPORT</v>
          </cell>
          <cell r="K40" t="str">
            <v>BAJO COND.</v>
          </cell>
          <cell r="L40" t="str">
            <v>FOB</v>
          </cell>
          <cell r="M40" t="str">
            <v>1029</v>
          </cell>
          <cell r="N40" t="str">
            <v>23409750.00</v>
          </cell>
          <cell r="O40" t="str">
            <v>600000.00</v>
          </cell>
          <cell r="P40" t="str">
            <v>0.00</v>
          </cell>
          <cell r="Q40" t="str">
            <v>22551393.00</v>
          </cell>
          <cell r="S40" t="str">
            <v>0.00</v>
          </cell>
          <cell r="T40" t="str">
            <v>0</v>
          </cell>
          <cell r="V40" t="str">
            <v>0.00</v>
          </cell>
          <cell r="W40">
            <v>0</v>
          </cell>
          <cell r="Z40" t="str">
            <v>NO</v>
          </cell>
          <cell r="AA40" t="str">
            <v>NO</v>
          </cell>
          <cell r="AC40" t="str">
            <v>Sin Aprobar</v>
          </cell>
        </row>
        <row r="41">
          <cell r="A41">
            <v>412</v>
          </cell>
          <cell r="B41" t="str">
            <v>04-02-2026</v>
          </cell>
          <cell r="C41" t="str">
            <v>06-02-2026</v>
          </cell>
          <cell r="D41" t="str">
            <v>HMM BLESSING</v>
          </cell>
          <cell r="E41" t="str">
            <v>MARITIMO</v>
          </cell>
          <cell r="F41" t="str">
            <v>KINGO</v>
          </cell>
          <cell r="G41" t="str">
            <v>KINGO SHANGHAI CO.,LTD.</v>
          </cell>
          <cell r="H41" t="str">
            <v>DAGEN</v>
          </cell>
          <cell r="I41" t="str">
            <v>DAGEN /</v>
          </cell>
          <cell r="J41" t="str">
            <v>ALMAHUE EXPORT</v>
          </cell>
          <cell r="K41" t="str">
            <v>CONS-LIBRE</v>
          </cell>
          <cell r="L41" t="str">
            <v>FOB</v>
          </cell>
          <cell r="M41" t="str">
            <v>2592</v>
          </cell>
          <cell r="N41" t="str">
            <v>310740.74</v>
          </cell>
          <cell r="O41" t="str">
            <v>48070.56</v>
          </cell>
          <cell r="P41" t="str">
            <v>0.00</v>
          </cell>
          <cell r="Q41" t="str">
            <v>193858.93</v>
          </cell>
          <cell r="R41">
            <v>1946</v>
          </cell>
          <cell r="S41" t="str">
            <v>18144.00</v>
          </cell>
          <cell r="T41" t="str">
            <v>15,706,716</v>
          </cell>
          <cell r="V41" t="str">
            <v>0.00</v>
          </cell>
          <cell r="W41">
            <v>0</v>
          </cell>
          <cell r="X41" t="str">
            <v>13273374-0</v>
          </cell>
          <cell r="Y41" t="str">
            <v>18-02-2026</v>
          </cell>
          <cell r="Z41" t="str">
            <v>SI</v>
          </cell>
          <cell r="AA41" t="str">
            <v>NO</v>
          </cell>
          <cell r="AB41" t="str">
            <v>16-09-2026</v>
          </cell>
          <cell r="AC41" t="str">
            <v>Sin Aprobar</v>
          </cell>
        </row>
        <row r="42">
          <cell r="A42">
            <v>411</v>
          </cell>
          <cell r="B42" t="str">
            <v>04-02-2026</v>
          </cell>
          <cell r="C42" t="str">
            <v>06-02-2026</v>
          </cell>
          <cell r="D42" t="str">
            <v>HMM BLESSING</v>
          </cell>
          <cell r="E42" t="str">
            <v>MARITIMO</v>
          </cell>
          <cell r="F42" t="str">
            <v>FRESH LINK GUANGZHOU</v>
          </cell>
          <cell r="G42" t="str">
            <v>SHENZHEN FANYA XIANSHIHUI CO.,LTD</v>
          </cell>
          <cell r="H42" t="str">
            <v>DAGEN</v>
          </cell>
          <cell r="I42" t="str">
            <v>DAGEN /</v>
          </cell>
          <cell r="J42" t="str">
            <v>ALMAHUE EXPORT</v>
          </cell>
          <cell r="K42" t="str">
            <v>CONS-LIBRE</v>
          </cell>
          <cell r="L42" t="str">
            <v>FOB</v>
          </cell>
          <cell r="M42" t="str">
            <v>2592</v>
          </cell>
          <cell r="N42" t="str">
            <v>353570.09</v>
          </cell>
          <cell r="O42" t="str">
            <v>53693.00</v>
          </cell>
          <cell r="P42" t="str">
            <v>0.00</v>
          </cell>
          <cell r="Q42" t="str">
            <v>209738.09</v>
          </cell>
          <cell r="R42">
            <v>1949</v>
          </cell>
          <cell r="S42" t="str">
            <v>18144.00</v>
          </cell>
          <cell r="T42" t="str">
            <v>15,706,716</v>
          </cell>
          <cell r="V42" t="str">
            <v>0.00</v>
          </cell>
          <cell r="W42">
            <v>0</v>
          </cell>
          <cell r="X42" t="str">
            <v>13273327-9</v>
          </cell>
          <cell r="Y42" t="str">
            <v>18-02-2026</v>
          </cell>
          <cell r="Z42" t="str">
            <v>SI</v>
          </cell>
          <cell r="AA42" t="str">
            <v>NO</v>
          </cell>
          <cell r="AB42" t="str">
            <v>16-09-2026</v>
          </cell>
          <cell r="AC42" t="str">
            <v>Sin Aprobar</v>
          </cell>
        </row>
        <row r="43">
          <cell r="A43">
            <v>410</v>
          </cell>
          <cell r="B43" t="str">
            <v>03-02-2026</v>
          </cell>
          <cell r="C43" t="str">
            <v>06-02-2026</v>
          </cell>
          <cell r="D43" t="str">
            <v>HMM BLESSING</v>
          </cell>
          <cell r="E43" t="str">
            <v>MARITIMO</v>
          </cell>
          <cell r="F43" t="str">
            <v>FRUITCEO CO.,LIMITED</v>
          </cell>
          <cell r="G43" t="str">
            <v>SHANGHAI HUI ZHAN INTERNATIONAL TRADE CO., LTD</v>
          </cell>
          <cell r="H43" t="str">
            <v>DAGEN</v>
          </cell>
          <cell r="I43" t="str">
            <v>DAGEN /</v>
          </cell>
          <cell r="J43" t="str">
            <v>ALMAHUE EXPORT</v>
          </cell>
          <cell r="K43" t="str">
            <v>CONS-LIBRE</v>
          </cell>
          <cell r="L43" t="str">
            <v>FOB</v>
          </cell>
          <cell r="M43" t="str">
            <v>2544</v>
          </cell>
          <cell r="N43" t="str">
            <v>342485.64</v>
          </cell>
          <cell r="O43" t="str">
            <v>52241.00</v>
          </cell>
          <cell r="P43" t="str">
            <v>0.00</v>
          </cell>
          <cell r="Q43" t="str">
            <v>203966.14</v>
          </cell>
          <cell r="R43">
            <v>1948</v>
          </cell>
          <cell r="S43" t="str">
            <v>17808.00</v>
          </cell>
          <cell r="T43" t="str">
            <v>15,415,851</v>
          </cell>
          <cell r="V43" t="str">
            <v>0.00</v>
          </cell>
          <cell r="W43">
            <v>0</v>
          </cell>
          <cell r="X43" t="str">
            <v>13271029-5</v>
          </cell>
          <cell r="Y43" t="str">
            <v>18-02-2026</v>
          </cell>
          <cell r="Z43" t="str">
            <v>SI</v>
          </cell>
          <cell r="AA43" t="str">
            <v>NO</v>
          </cell>
          <cell r="AB43" t="str">
            <v>16-09-2026</v>
          </cell>
          <cell r="AC43" t="str">
            <v>Sin Aprobar</v>
          </cell>
        </row>
        <row r="44">
          <cell r="A44">
            <v>409</v>
          </cell>
          <cell r="B44" t="str">
            <v>03-02-2026</v>
          </cell>
          <cell r="C44" t="str">
            <v>06-02-2026</v>
          </cell>
          <cell r="D44" t="str">
            <v>HMM BLESSING</v>
          </cell>
          <cell r="E44" t="str">
            <v>MARITIMO</v>
          </cell>
          <cell r="F44" t="str">
            <v>XINGWAN</v>
          </cell>
          <cell r="G44" t="str">
            <v>SHENZHEN OHENG IMPORT &amp; EXPORT CO.,LTD.</v>
          </cell>
          <cell r="H44" t="str">
            <v>DAGEN</v>
          </cell>
          <cell r="I44" t="str">
            <v>DAGEN /</v>
          </cell>
          <cell r="J44" t="str">
            <v>ALMAHUE EXPORT</v>
          </cell>
          <cell r="K44" t="str">
            <v>CONS-LIBRE</v>
          </cell>
          <cell r="L44" t="str">
            <v>FOB</v>
          </cell>
          <cell r="M44" t="str">
            <v>2544</v>
          </cell>
          <cell r="N44" t="str">
            <v>354900.48</v>
          </cell>
          <cell r="O44" t="str">
            <v>53410.31</v>
          </cell>
          <cell r="P44" t="str">
            <v>0.00</v>
          </cell>
          <cell r="Q44" t="str">
            <v>218535.69</v>
          </cell>
          <cell r="R44">
            <v>1945</v>
          </cell>
          <cell r="S44" t="str">
            <v>17808.00</v>
          </cell>
          <cell r="T44" t="str">
            <v>15,415,851</v>
          </cell>
          <cell r="V44" t="str">
            <v>0.00</v>
          </cell>
          <cell r="W44">
            <v>0</v>
          </cell>
          <cell r="X44" t="str">
            <v>13270978-5</v>
          </cell>
          <cell r="Y44" t="str">
            <v>18-02-2026</v>
          </cell>
          <cell r="Z44" t="str">
            <v>SI</v>
          </cell>
          <cell r="AA44" t="str">
            <v>NO</v>
          </cell>
          <cell r="AB44" t="str">
            <v>16-09-2026</v>
          </cell>
          <cell r="AC44" t="str">
            <v>Sin Aprobar</v>
          </cell>
        </row>
        <row r="45">
          <cell r="A45">
            <v>408</v>
          </cell>
          <cell r="B45" t="str">
            <v>03-02-2026</v>
          </cell>
          <cell r="C45" t="str">
            <v>06-02-2026</v>
          </cell>
          <cell r="D45" t="str">
            <v>HMM BLESSING</v>
          </cell>
          <cell r="E45" t="str">
            <v>MARITIMO</v>
          </cell>
          <cell r="F45" t="str">
            <v>HUASHENG</v>
          </cell>
          <cell r="G45" t="str">
            <v>CHUN WAN YI (GUANGZHOU) SUPPLY CHAIN MANAGEMENT CO., LTD</v>
          </cell>
          <cell r="H45" t="str">
            <v>DAGEN</v>
          </cell>
          <cell r="I45" t="str">
            <v>DAGEN /</v>
          </cell>
          <cell r="J45" t="str">
            <v>ALMAHUE EXPORT</v>
          </cell>
          <cell r="K45" t="str">
            <v>CONS-LIBRE</v>
          </cell>
          <cell r="L45" t="str">
            <v>FOB</v>
          </cell>
          <cell r="M45" t="str">
            <v>2544</v>
          </cell>
          <cell r="N45" t="str">
            <v>53897.48</v>
          </cell>
          <cell r="O45" t="str">
            <v>7507.86</v>
          </cell>
          <cell r="P45" t="str">
            <v>0.00</v>
          </cell>
          <cell r="Q45" t="str">
            <v>35780.38</v>
          </cell>
          <cell r="R45">
            <v>1944</v>
          </cell>
          <cell r="S45" t="str">
            <v>17808.00</v>
          </cell>
          <cell r="T45" t="str">
            <v>15,415,851</v>
          </cell>
          <cell r="V45" t="str">
            <v>0.00</v>
          </cell>
          <cell r="W45">
            <v>0</v>
          </cell>
          <cell r="X45" t="str">
            <v>13270956-4</v>
          </cell>
          <cell r="Y45" t="str">
            <v>18-02-2026</v>
          </cell>
          <cell r="Z45" t="str">
            <v>SI</v>
          </cell>
          <cell r="AA45" t="str">
            <v>NO</v>
          </cell>
          <cell r="AB45" t="str">
            <v>16-09-2026</v>
          </cell>
          <cell r="AC45" t="str">
            <v>Sin Aprobar</v>
          </cell>
        </row>
        <row r="46">
          <cell r="A46">
            <v>407</v>
          </cell>
          <cell r="B46" t="str">
            <v>04-02-2026</v>
          </cell>
          <cell r="C46" t="str">
            <v>09-02-2026</v>
          </cell>
          <cell r="D46" t="str">
            <v>YANTIAN</v>
          </cell>
          <cell r="E46" t="str">
            <v>MARITIMO</v>
          </cell>
          <cell r="F46" t="str">
            <v>ACUMEN</v>
          </cell>
          <cell r="G46" t="str">
            <v>COPSAYS, S.A DE C.V</v>
          </cell>
          <cell r="H46" t="str">
            <v>NECTARINES</v>
          </cell>
          <cell r="I46" t="str">
            <v>BRIGHT PEARL /</v>
          </cell>
          <cell r="J46" t="str">
            <v>ALMAHUE EXPORT</v>
          </cell>
          <cell r="K46" t="str">
            <v>CONS-LIBRE</v>
          </cell>
          <cell r="L46" t="str">
            <v>FOB</v>
          </cell>
          <cell r="M46" t="str">
            <v>2400</v>
          </cell>
          <cell r="N46" t="str">
            <v>28103.50</v>
          </cell>
          <cell r="O46" t="str">
            <v>4000.00</v>
          </cell>
          <cell r="P46" t="str">
            <v>0.00</v>
          </cell>
          <cell r="Q46" t="str">
            <v>10395.15</v>
          </cell>
          <cell r="R46">
            <v>1953</v>
          </cell>
          <cell r="S46" t="str">
            <v>14400.00</v>
          </cell>
          <cell r="T46" t="str">
            <v>12,379,104</v>
          </cell>
          <cell r="V46" t="str">
            <v>0.00</v>
          </cell>
          <cell r="W46">
            <v>0</v>
          </cell>
          <cell r="X46" t="str">
            <v>13272572-1</v>
          </cell>
          <cell r="Y46" t="str">
            <v>18-02-2026</v>
          </cell>
          <cell r="Z46" t="str">
            <v>SI</v>
          </cell>
          <cell r="AA46" t="str">
            <v>NO</v>
          </cell>
          <cell r="AB46" t="str">
            <v>16-09-2026</v>
          </cell>
          <cell r="AC46" t="str">
            <v>Sin Aprobar</v>
          </cell>
        </row>
        <row r="47">
          <cell r="A47">
            <v>406</v>
          </cell>
          <cell r="B47" t="str">
            <v>31-01-2026</v>
          </cell>
          <cell r="C47" t="str">
            <v>01-02-2026</v>
          </cell>
          <cell r="D47" t="str">
            <v>ATLAS</v>
          </cell>
          <cell r="E47" t="str">
            <v>AEREO</v>
          </cell>
          <cell r="F47" t="str">
            <v>KINGO</v>
          </cell>
          <cell r="G47" t="str">
            <v>SHENZHEN JIANRONG JIAYE TRADE CO.LTD</v>
          </cell>
          <cell r="H47" t="str">
            <v>DAGEN</v>
          </cell>
          <cell r="I47" t="str">
            <v>DAGEN /</v>
          </cell>
          <cell r="J47" t="str">
            <v>ALMAHUE EXPORT</v>
          </cell>
          <cell r="K47" t="str">
            <v>CONS-LIBRE</v>
          </cell>
          <cell r="L47" t="str">
            <v>CIF</v>
          </cell>
          <cell r="M47" t="str">
            <v>600</v>
          </cell>
          <cell r="N47" t="str">
            <v>198040.08</v>
          </cell>
          <cell r="O47" t="str">
            <v>94469.76</v>
          </cell>
          <cell r="P47" t="str">
            <v>0.00</v>
          </cell>
          <cell r="Q47" t="str">
            <v>64159.28</v>
          </cell>
          <cell r="R47">
            <v>1930</v>
          </cell>
          <cell r="S47" t="str">
            <v>17400.00</v>
          </cell>
          <cell r="T47" t="str">
            <v>14,937,030</v>
          </cell>
          <cell r="V47" t="str">
            <v>0.00</v>
          </cell>
          <cell r="W47">
            <v>0</v>
          </cell>
          <cell r="X47" t="str">
            <v>13268522-3</v>
          </cell>
          <cell r="Y47" t="str">
            <v>23-02-2026</v>
          </cell>
          <cell r="Z47" t="str">
            <v>SI</v>
          </cell>
          <cell r="AA47" t="str">
            <v>NO</v>
          </cell>
          <cell r="AB47" t="str">
            <v>21-09-2026</v>
          </cell>
          <cell r="AC47" t="str">
            <v>Sin Aprobar</v>
          </cell>
        </row>
        <row r="48">
          <cell r="A48">
            <v>405</v>
          </cell>
          <cell r="B48" t="str">
            <v>31-01-2026</v>
          </cell>
          <cell r="C48" t="str">
            <v>01-02-2026</v>
          </cell>
          <cell r="D48" t="str">
            <v>ATLAS</v>
          </cell>
          <cell r="E48" t="str">
            <v>AEREO</v>
          </cell>
          <cell r="F48" t="str">
            <v>HING LEE</v>
          </cell>
          <cell r="G48" t="str">
            <v>SHENZHEN JINSHUN'AN INTERNATIONAL FREIGHT FORWARDING CO.,LTD</v>
          </cell>
          <cell r="H48" t="str">
            <v>DAGEN</v>
          </cell>
          <cell r="I48" t="str">
            <v>DAGEN /</v>
          </cell>
          <cell r="J48" t="str">
            <v>ALMAHUE EXPORT</v>
          </cell>
          <cell r="K48" t="str">
            <v>CONS-LIBRE</v>
          </cell>
          <cell r="L48" t="str">
            <v>CIF</v>
          </cell>
          <cell r="M48" t="str">
            <v>600</v>
          </cell>
          <cell r="N48" t="str">
            <v>27576.00</v>
          </cell>
          <cell r="O48" t="str">
            <v>12585.00</v>
          </cell>
          <cell r="P48" t="str">
            <v>0.00</v>
          </cell>
          <cell r="Q48" t="str">
            <v>10979.44</v>
          </cell>
          <cell r="R48">
            <v>1931</v>
          </cell>
          <cell r="S48" t="str">
            <v>16800.00</v>
          </cell>
          <cell r="T48" t="str">
            <v>14,421,960</v>
          </cell>
          <cell r="V48" t="str">
            <v>0.00</v>
          </cell>
          <cell r="W48">
            <v>0</v>
          </cell>
          <cell r="X48" t="str">
            <v>13268540-1</v>
          </cell>
          <cell r="Y48" t="str">
            <v>23-02-2026</v>
          </cell>
          <cell r="Z48" t="str">
            <v>SI</v>
          </cell>
          <cell r="AA48" t="str">
            <v>NO</v>
          </cell>
          <cell r="AB48" t="str">
            <v>21-09-2026</v>
          </cell>
          <cell r="AC48" t="str">
            <v>Sin Aprobar</v>
          </cell>
        </row>
        <row r="49">
          <cell r="A49">
            <v>404</v>
          </cell>
          <cell r="B49" t="str">
            <v>31-01-2026</v>
          </cell>
          <cell r="C49" t="str">
            <v>01-02-2026</v>
          </cell>
          <cell r="D49" t="str">
            <v>ATLAS</v>
          </cell>
          <cell r="E49" t="str">
            <v>AEREO</v>
          </cell>
          <cell r="F49" t="str">
            <v>HUASHENG</v>
          </cell>
          <cell r="G49" t="str">
            <v>SHENZHEN FANYA XIANSHIHUI CO.,LTD</v>
          </cell>
          <cell r="H49" t="str">
            <v>DAGEN</v>
          </cell>
          <cell r="I49" t="str">
            <v>DAGEN /</v>
          </cell>
          <cell r="J49" t="str">
            <v>ALMAHUE EXPORT</v>
          </cell>
          <cell r="K49" t="str">
            <v>CONS-LIBRE</v>
          </cell>
          <cell r="L49" t="str">
            <v>CIF</v>
          </cell>
          <cell r="M49" t="str">
            <v>600</v>
          </cell>
          <cell r="N49" t="str">
            <v>27725.40</v>
          </cell>
          <cell r="O49" t="str">
            <v>12567.60</v>
          </cell>
          <cell r="P49" t="str">
            <v>0.00</v>
          </cell>
          <cell r="Q49" t="str">
            <v>10319.61</v>
          </cell>
          <cell r="R49">
            <v>1929</v>
          </cell>
          <cell r="S49" t="str">
            <v>16800.00</v>
          </cell>
          <cell r="T49" t="str">
            <v>14,421,960</v>
          </cell>
          <cell r="V49" t="str">
            <v>0.00</v>
          </cell>
          <cell r="W49">
            <v>0</v>
          </cell>
          <cell r="X49" t="str">
            <v>13268518-5</v>
          </cell>
          <cell r="Y49" t="str">
            <v>09-03-2026</v>
          </cell>
          <cell r="Z49" t="str">
            <v>SI</v>
          </cell>
          <cell r="AA49" t="str">
            <v>NO</v>
          </cell>
          <cell r="AB49" t="str">
            <v>05-10-2026</v>
          </cell>
          <cell r="AC49" t="str">
            <v>Sin Aprobar</v>
          </cell>
        </row>
        <row r="50">
          <cell r="A50">
            <v>403</v>
          </cell>
          <cell r="B50" t="str">
            <v>31-01-2026</v>
          </cell>
          <cell r="C50" t="str">
            <v>02-02-2026</v>
          </cell>
          <cell r="D50" t="str">
            <v>KALITTA AIR</v>
          </cell>
          <cell r="E50" t="str">
            <v>AEREO</v>
          </cell>
          <cell r="F50" t="str">
            <v>FRESH LINK GUANGZHOU</v>
          </cell>
          <cell r="G50" t="str">
            <v>SHENZHEN FANYA XIANSHIHUI CO.,LTD</v>
          </cell>
          <cell r="H50" t="str">
            <v>DAGEN</v>
          </cell>
          <cell r="I50" t="str">
            <v>DAGEN /</v>
          </cell>
          <cell r="J50" t="str">
            <v>ALMAHUE EXPORT</v>
          </cell>
          <cell r="K50" t="str">
            <v>CONS-LIBRE</v>
          </cell>
          <cell r="L50" t="str">
            <v>FOB</v>
          </cell>
          <cell r="M50" t="str">
            <v>1200</v>
          </cell>
          <cell r="N50" t="str">
            <v>396000.00</v>
          </cell>
          <cell r="O50" t="str">
            <v>170886.98</v>
          </cell>
          <cell r="P50" t="str">
            <v>0.00</v>
          </cell>
          <cell r="Q50" t="str">
            <v>152964.02</v>
          </cell>
          <cell r="R50">
            <v>1932</v>
          </cell>
          <cell r="S50" t="str">
            <v>8400.00</v>
          </cell>
          <cell r="T50" t="str">
            <v>7,266,840</v>
          </cell>
          <cell r="V50" t="str">
            <v>0.00</v>
          </cell>
          <cell r="W50">
            <v>0</v>
          </cell>
          <cell r="X50" t="str">
            <v>13268544-4</v>
          </cell>
          <cell r="Y50" t="str">
            <v>26-02-2026</v>
          </cell>
          <cell r="Z50" t="str">
            <v>SI</v>
          </cell>
          <cell r="AA50" t="str">
            <v>NO</v>
          </cell>
          <cell r="AB50" t="str">
            <v>24-09-2026</v>
          </cell>
          <cell r="AC50" t="str">
            <v>Sin Aprobar</v>
          </cell>
        </row>
        <row r="51">
          <cell r="A51">
            <v>402</v>
          </cell>
          <cell r="B51" t="str">
            <v>31-01-2026</v>
          </cell>
          <cell r="C51" t="str">
            <v>04-02-2026</v>
          </cell>
          <cell r="D51" t="str">
            <v>SALLY MAERSK</v>
          </cell>
          <cell r="E51" t="str">
            <v>MARITIMO</v>
          </cell>
          <cell r="F51" t="str">
            <v>HING LEE</v>
          </cell>
          <cell r="G51" t="str">
            <v>SHENZHEN JINSHUN'AN INTERNATIONAL FREIGHT FORWARDING CO.,LTD</v>
          </cell>
          <cell r="H51" t="str">
            <v>NECTARINES</v>
          </cell>
          <cell r="I51" t="str">
            <v>BRIGHT PEARL / GIANT PEARL /</v>
          </cell>
          <cell r="J51" t="str">
            <v>ALMAHUE EXPORT</v>
          </cell>
          <cell r="K51" t="str">
            <v>CONS-LIBRE</v>
          </cell>
          <cell r="L51" t="str">
            <v>FOB</v>
          </cell>
          <cell r="M51" t="str">
            <v>2400</v>
          </cell>
          <cell r="N51" t="str">
            <v>32278.35</v>
          </cell>
          <cell r="O51" t="str">
            <v>8148.00</v>
          </cell>
          <cell r="P51" t="str">
            <v>0.00</v>
          </cell>
          <cell r="Q51" t="str">
            <v>16226.65</v>
          </cell>
          <cell r="R51">
            <v>1940</v>
          </cell>
          <cell r="S51" t="str">
            <v>14400.00</v>
          </cell>
          <cell r="T51" t="str">
            <v>12,377,232</v>
          </cell>
          <cell r="V51" t="str">
            <v>0.00</v>
          </cell>
          <cell r="W51">
            <v>0</v>
          </cell>
          <cell r="X51" t="str">
            <v>13267757-3</v>
          </cell>
          <cell r="Y51" t="str">
            <v>19-02-2026</v>
          </cell>
          <cell r="Z51" t="str">
            <v>SI</v>
          </cell>
          <cell r="AA51" t="str">
            <v>NO</v>
          </cell>
          <cell r="AB51" t="str">
            <v>17-09-2026</v>
          </cell>
          <cell r="AC51" t="str">
            <v>Sin Aprobar</v>
          </cell>
        </row>
        <row r="52">
          <cell r="A52">
            <v>401</v>
          </cell>
          <cell r="B52" t="str">
            <v>17-02-2026</v>
          </cell>
          <cell r="C52" t="str">
            <v>20-02-2026</v>
          </cell>
          <cell r="D52" t="str">
            <v>MARTINIQUE</v>
          </cell>
          <cell r="E52" t="str">
            <v>MARITIMO</v>
          </cell>
          <cell r="F52" t="str">
            <v>SARCOFRUIT SARANGO</v>
          </cell>
          <cell r="G52" t="str">
            <v>IMPORTADORA DE FRUTAS SARANGO S.A. SARCOFRUIT</v>
          </cell>
          <cell r="H52" t="str">
            <v>MANZANAS</v>
          </cell>
          <cell r="I52" t="str">
            <v>ROYAL GALA /</v>
          </cell>
          <cell r="J52" t="str">
            <v>ALMAHUE EXPORT</v>
          </cell>
          <cell r="K52" t="str">
            <v>BAJO COND.</v>
          </cell>
          <cell r="L52" t="str">
            <v>FOB</v>
          </cell>
          <cell r="M52" t="str">
            <v>1029</v>
          </cell>
          <cell r="N52" t="str">
            <v>22638.00</v>
          </cell>
          <cell r="O52" t="str">
            <v>705.75</v>
          </cell>
          <cell r="P52" t="str">
            <v>0.00</v>
          </cell>
          <cell r="Q52" t="str">
            <v>21574.50</v>
          </cell>
          <cell r="R52">
            <v>1957</v>
          </cell>
          <cell r="S52" t="str">
            <v>22638.00</v>
          </cell>
          <cell r="T52" t="str">
            <v>19,621,260</v>
          </cell>
          <cell r="V52" t="str">
            <v>0.00</v>
          </cell>
          <cell r="W52">
            <v>0</v>
          </cell>
          <cell r="X52" t="str">
            <v>13296191-3</v>
          </cell>
          <cell r="Y52" t="str">
            <v>27-02-2026</v>
          </cell>
          <cell r="Z52" t="str">
            <v>SI</v>
          </cell>
          <cell r="AA52" t="str">
            <v>NO</v>
          </cell>
          <cell r="AB52" t="str">
            <v>25-09-2026</v>
          </cell>
          <cell r="AC52" t="str">
            <v>Sin Aprobar</v>
          </cell>
        </row>
        <row r="53">
          <cell r="A53">
            <v>400</v>
          </cell>
          <cell r="B53" t="str">
            <v>02-02-2026</v>
          </cell>
          <cell r="C53" t="str">
            <v>06-02-2026</v>
          </cell>
          <cell r="D53" t="str">
            <v>HMM BLESSING</v>
          </cell>
          <cell r="E53" t="str">
            <v>MARITIMO</v>
          </cell>
          <cell r="F53" t="str">
            <v>HING LEE</v>
          </cell>
          <cell r="G53" t="str">
            <v>SHENZHEN JINSHUN'AN INTERNATIONAL FREIGHT FORWARDING CO.,LTD</v>
          </cell>
          <cell r="H53" t="str">
            <v>DAGEN</v>
          </cell>
          <cell r="I53" t="str">
            <v>DAGEN /</v>
          </cell>
          <cell r="J53" t="str">
            <v>ALMAHUE EXPORT</v>
          </cell>
          <cell r="K53" t="str">
            <v>CONS-LIBRE</v>
          </cell>
          <cell r="L53" t="str">
            <v>FOB</v>
          </cell>
          <cell r="M53" t="str">
            <v>2784</v>
          </cell>
          <cell r="N53" t="str">
            <v>47577.60</v>
          </cell>
          <cell r="O53" t="str">
            <v>7076.00</v>
          </cell>
          <cell r="P53" t="str">
            <v>0.00</v>
          </cell>
          <cell r="Q53" t="str">
            <v>31062.14</v>
          </cell>
          <cell r="R53">
            <v>1947</v>
          </cell>
          <cell r="S53" t="str">
            <v>19488.00</v>
          </cell>
          <cell r="T53" t="str">
            <v>16,870,177</v>
          </cell>
          <cell r="V53" t="str">
            <v>0.00</v>
          </cell>
          <cell r="W53">
            <v>0</v>
          </cell>
          <cell r="X53" t="str">
            <v>13269871-6</v>
          </cell>
          <cell r="Y53" t="str">
            <v>18-02-2026</v>
          </cell>
          <cell r="Z53" t="str">
            <v>SI</v>
          </cell>
          <cell r="AA53" t="str">
            <v>NO</v>
          </cell>
          <cell r="AB53" t="str">
            <v>16-09-2026</v>
          </cell>
          <cell r="AC53" t="str">
            <v>Sin Aprobar</v>
          </cell>
        </row>
        <row r="54">
          <cell r="A54">
            <v>399</v>
          </cell>
          <cell r="B54" t="str">
            <v>02-02-2026</v>
          </cell>
          <cell r="C54" t="str">
            <v>06-02-2026</v>
          </cell>
          <cell r="D54" t="str">
            <v>HMM BLESSING</v>
          </cell>
          <cell r="E54" t="str">
            <v>MARITIMO</v>
          </cell>
          <cell r="F54" t="str">
            <v>KINGO</v>
          </cell>
          <cell r="G54" t="str">
            <v>KINGO SHANGHAI CO.,LTD.</v>
          </cell>
          <cell r="H54" t="str">
            <v>DAGEN</v>
          </cell>
          <cell r="I54" t="str">
            <v>DAGEN /</v>
          </cell>
          <cell r="J54" t="str">
            <v>ALMAHUE EXPORT</v>
          </cell>
          <cell r="K54" t="str">
            <v>CONS-LIBRE</v>
          </cell>
          <cell r="L54" t="str">
            <v>FOB</v>
          </cell>
          <cell r="M54" t="str">
            <v>2784</v>
          </cell>
          <cell r="N54" t="str">
            <v>243640.37</v>
          </cell>
          <cell r="O54" t="str">
            <v>48070.56</v>
          </cell>
          <cell r="P54" t="str">
            <v>0.00</v>
          </cell>
          <cell r="Q54" t="str">
            <v>135867.77</v>
          </cell>
          <cell r="R54">
            <v>1943</v>
          </cell>
          <cell r="S54" t="str">
            <v>19488.00</v>
          </cell>
          <cell r="T54" t="str">
            <v>16,870,177</v>
          </cell>
          <cell r="V54" t="str">
            <v>0.00</v>
          </cell>
          <cell r="W54">
            <v>0</v>
          </cell>
          <cell r="X54" t="str">
            <v>13269776-0</v>
          </cell>
          <cell r="Y54" t="str">
            <v>18-02-2026</v>
          </cell>
          <cell r="Z54" t="str">
            <v>SI</v>
          </cell>
          <cell r="AA54" t="str">
            <v>NO</v>
          </cell>
          <cell r="AB54" t="str">
            <v>16-09-2026</v>
          </cell>
          <cell r="AC54" t="str">
            <v>Sin Aprobar</v>
          </cell>
        </row>
        <row r="55">
          <cell r="A55">
            <v>398</v>
          </cell>
          <cell r="B55" t="str">
            <v>02-02-2026</v>
          </cell>
          <cell r="C55" t="str">
            <v>04-02-2026</v>
          </cell>
          <cell r="D55" t="str">
            <v>SALLY MAERSK</v>
          </cell>
          <cell r="E55" t="str">
            <v>MARITIMO</v>
          </cell>
          <cell r="F55" t="str">
            <v>HUASHENG</v>
          </cell>
          <cell r="G55" t="str">
            <v>CHUN WAN YI (GUANGZHOU) SUPPLY CHAIN MANAGEMENT CO., LTD</v>
          </cell>
          <cell r="H55" t="str">
            <v>DAGEN</v>
          </cell>
          <cell r="I55" t="str">
            <v>DAGEN /</v>
          </cell>
          <cell r="J55" t="str">
            <v>ALMAHUE EXPORT</v>
          </cell>
          <cell r="K55" t="str">
            <v>CONS-LIBRE</v>
          </cell>
          <cell r="L55" t="str">
            <v>FOB</v>
          </cell>
          <cell r="M55" t="str">
            <v>2784</v>
          </cell>
          <cell r="N55" t="str">
            <v>56995.73</v>
          </cell>
          <cell r="O55" t="str">
            <v>7907.14</v>
          </cell>
          <cell r="P55" t="str">
            <v>0.00</v>
          </cell>
          <cell r="Q55" t="str">
            <v>37052.89</v>
          </cell>
          <cell r="R55">
            <v>1942</v>
          </cell>
          <cell r="S55" t="str">
            <v>19488.00</v>
          </cell>
          <cell r="T55" t="str">
            <v>16,750,521</v>
          </cell>
          <cell r="V55" t="str">
            <v>0.00</v>
          </cell>
          <cell r="W55">
            <v>0</v>
          </cell>
          <cell r="X55" t="str">
            <v>13269030-8</v>
          </cell>
          <cell r="Y55" t="str">
            <v>19-02-2026</v>
          </cell>
          <cell r="Z55" t="str">
            <v>SI</v>
          </cell>
          <cell r="AA55" t="str">
            <v>NO</v>
          </cell>
          <cell r="AB55" t="str">
            <v>17-09-2026</v>
          </cell>
          <cell r="AC55" t="str">
            <v>Sin Aprobar</v>
          </cell>
        </row>
        <row r="56">
          <cell r="A56">
            <v>397</v>
          </cell>
          <cell r="B56" t="str">
            <v>02-02-2026</v>
          </cell>
          <cell r="C56" t="str">
            <v>04-02-2026</v>
          </cell>
          <cell r="D56" t="str">
            <v>SALLY MAERSK</v>
          </cell>
          <cell r="E56" t="str">
            <v>MARITIMO</v>
          </cell>
          <cell r="F56" t="str">
            <v>HING LEE</v>
          </cell>
          <cell r="G56" t="str">
            <v>SHENZHEN JINSHUN'AN INTERNATIONAL FREIGHT FORWARDING CO.,LTD</v>
          </cell>
          <cell r="H56" t="str">
            <v>DAGEN</v>
          </cell>
          <cell r="I56" t="str">
            <v>DAGEN /</v>
          </cell>
          <cell r="J56" t="str">
            <v>ALMAHUE EXPORT</v>
          </cell>
          <cell r="K56" t="str">
            <v>CONS-LIBRE</v>
          </cell>
          <cell r="L56" t="str">
            <v>FOB</v>
          </cell>
          <cell r="M56" t="str">
            <v>2784</v>
          </cell>
          <cell r="N56" t="str">
            <v>50320.38</v>
          </cell>
          <cell r="O56" t="str">
            <v>8148.00</v>
          </cell>
          <cell r="P56" t="str">
            <v>0.00</v>
          </cell>
          <cell r="Q56" t="str">
            <v>32325.65</v>
          </cell>
          <cell r="R56">
            <v>1939</v>
          </cell>
          <cell r="S56" t="str">
            <v>19488.00</v>
          </cell>
          <cell r="T56" t="str">
            <v>16,750,521</v>
          </cell>
          <cell r="V56" t="str">
            <v>0.00</v>
          </cell>
          <cell r="W56">
            <v>0</v>
          </cell>
          <cell r="X56" t="str">
            <v>13267826-K</v>
          </cell>
          <cell r="Y56" t="str">
            <v>18-02-2026</v>
          </cell>
          <cell r="Z56" t="str">
            <v>SI</v>
          </cell>
          <cell r="AA56" t="str">
            <v>NO</v>
          </cell>
          <cell r="AB56" t="str">
            <v>16-09-2026</v>
          </cell>
          <cell r="AC56" t="str">
            <v>Sin Aprobar</v>
          </cell>
        </row>
        <row r="57">
          <cell r="A57">
            <v>396</v>
          </cell>
          <cell r="B57" t="str">
            <v>31-01-2026</v>
          </cell>
          <cell r="C57" t="str">
            <v>04-02-2026</v>
          </cell>
          <cell r="D57" t="str">
            <v>SALLY MAERSK</v>
          </cell>
          <cell r="E57" t="str">
            <v>MARITIMO</v>
          </cell>
          <cell r="F57" t="str">
            <v>KINGO</v>
          </cell>
          <cell r="G57" t="str">
            <v>KINGO SHANGHAI CO.,LTD.</v>
          </cell>
          <cell r="H57" t="str">
            <v>DAGEN</v>
          </cell>
          <cell r="I57" t="str">
            <v>DAGEN /</v>
          </cell>
          <cell r="J57" t="str">
            <v>ALMAHUE EXPORT</v>
          </cell>
          <cell r="K57" t="str">
            <v>CONS-LIBRE</v>
          </cell>
          <cell r="L57" t="str">
            <v>FOB</v>
          </cell>
          <cell r="M57" t="str">
            <v>2592</v>
          </cell>
          <cell r="N57" t="str">
            <v>376940.24</v>
          </cell>
          <cell r="O57" t="str">
            <v>53067.28</v>
          </cell>
          <cell r="P57" t="str">
            <v>0.00</v>
          </cell>
          <cell r="Q57" t="str">
            <v>243534.74</v>
          </cell>
          <cell r="R57">
            <v>1941</v>
          </cell>
          <cell r="S57" t="str">
            <v>18144.00</v>
          </cell>
          <cell r="T57" t="str">
            <v>15,595,312</v>
          </cell>
          <cell r="V57" t="str">
            <v>0.00</v>
          </cell>
          <cell r="W57">
            <v>0</v>
          </cell>
          <cell r="X57" t="str">
            <v>13267776-K</v>
          </cell>
          <cell r="Y57" t="str">
            <v>18-02-2026</v>
          </cell>
          <cell r="Z57" t="str">
            <v>SI</v>
          </cell>
          <cell r="AA57" t="str">
            <v>NO</v>
          </cell>
          <cell r="AB57" t="str">
            <v>16-09-2026</v>
          </cell>
          <cell r="AC57" t="str">
            <v>Sin Aprobar</v>
          </cell>
        </row>
        <row r="58">
          <cell r="A58">
            <v>395</v>
          </cell>
          <cell r="B58" t="str">
            <v>31-01-2026</v>
          </cell>
          <cell r="C58" t="str">
            <v>03-02-2026</v>
          </cell>
          <cell r="D58" t="str">
            <v>MSC MARGARITA</v>
          </cell>
          <cell r="E58" t="str">
            <v>MARITIMO</v>
          </cell>
          <cell r="F58" t="str">
            <v>FRUITCEO CO.,LIMITED</v>
          </cell>
          <cell r="G58" t="str">
            <v>SHANGHAI HUI ZHAN INTERNATIONAL TRADE CO., LTD</v>
          </cell>
          <cell r="H58" t="str">
            <v>DAGEN</v>
          </cell>
          <cell r="I58" t="str">
            <v>DAGEN /</v>
          </cell>
          <cell r="J58" t="str">
            <v>ALMAHUE EXPORT</v>
          </cell>
          <cell r="K58" t="str">
            <v>CONS-LIBRE</v>
          </cell>
          <cell r="L58" t="str">
            <v>FOB</v>
          </cell>
          <cell r="M58" t="str">
            <v>2400</v>
          </cell>
          <cell r="N58" t="str">
            <v>396925.17</v>
          </cell>
          <cell r="O58" t="str">
            <v>48207.56</v>
          </cell>
          <cell r="P58" t="str">
            <v>0.00</v>
          </cell>
          <cell r="Q58" t="str">
            <v>268920.34</v>
          </cell>
          <cell r="R58">
            <v>1938</v>
          </cell>
          <cell r="S58" t="str">
            <v>16800.00</v>
          </cell>
          <cell r="T58" t="str">
            <v>14,591,136</v>
          </cell>
          <cell r="V58" t="str">
            <v>0.00</v>
          </cell>
          <cell r="W58">
            <v>0</v>
          </cell>
          <cell r="X58" t="str">
            <v>13267699-2</v>
          </cell>
          <cell r="Y58" t="str">
            <v>12-02-2026</v>
          </cell>
          <cell r="Z58" t="str">
            <v>SI</v>
          </cell>
          <cell r="AA58" t="str">
            <v>NO</v>
          </cell>
          <cell r="AB58" t="str">
            <v>10-09-2026</v>
          </cell>
          <cell r="AC58" t="str">
            <v>Sin Aprobar</v>
          </cell>
        </row>
        <row r="59">
          <cell r="A59">
            <v>394</v>
          </cell>
          <cell r="B59" t="str">
            <v>31-01-2026</v>
          </cell>
          <cell r="C59" t="str">
            <v>03-02-2026</v>
          </cell>
          <cell r="D59" t="str">
            <v>MSC MARGARITA</v>
          </cell>
          <cell r="E59" t="str">
            <v>MARITIMO</v>
          </cell>
          <cell r="F59" t="str">
            <v>XINGWAN</v>
          </cell>
          <cell r="G59" t="str">
            <v>ZHEJIANG OHENG IMPORT &amp; EXPORT CO.,LTD.</v>
          </cell>
          <cell r="H59" t="str">
            <v>DAGEN</v>
          </cell>
          <cell r="I59" t="str">
            <v>DAGEN /</v>
          </cell>
          <cell r="J59" t="str">
            <v>ALMAHUE EXPORT</v>
          </cell>
          <cell r="K59" t="str">
            <v>CONS-LIBRE</v>
          </cell>
          <cell r="L59" t="str">
            <v>FOB</v>
          </cell>
          <cell r="M59" t="str">
            <v>2832</v>
          </cell>
          <cell r="N59" t="str">
            <v>404500.00</v>
          </cell>
          <cell r="O59" t="str">
            <v>48104.76</v>
          </cell>
          <cell r="P59" t="str">
            <v>0.00</v>
          </cell>
          <cell r="Q59" t="str">
            <v>283250.24</v>
          </cell>
          <cell r="R59">
            <v>1936</v>
          </cell>
          <cell r="S59" t="str">
            <v>19824.00</v>
          </cell>
          <cell r="T59" t="str">
            <v>17,217,540</v>
          </cell>
          <cell r="V59" t="str">
            <v>0.00</v>
          </cell>
          <cell r="W59">
            <v>0</v>
          </cell>
          <cell r="X59" t="str">
            <v>13267318-7</v>
          </cell>
          <cell r="Y59" t="str">
            <v>12-02-2026</v>
          </cell>
          <cell r="Z59" t="str">
            <v>SI</v>
          </cell>
          <cell r="AA59" t="str">
            <v>NO</v>
          </cell>
          <cell r="AB59" t="str">
            <v>10-09-2026</v>
          </cell>
          <cell r="AC59" t="str">
            <v>Sin Aprobar</v>
          </cell>
        </row>
        <row r="60">
          <cell r="A60">
            <v>393</v>
          </cell>
          <cell r="B60" t="str">
            <v>30-01-2026</v>
          </cell>
          <cell r="C60" t="str">
            <v>03-02-2026</v>
          </cell>
          <cell r="D60" t="str">
            <v>MSC MARGARITA</v>
          </cell>
          <cell r="E60" t="str">
            <v>MARITIMO</v>
          </cell>
          <cell r="F60" t="str">
            <v>FRESH LINK GUANGZHOU</v>
          </cell>
          <cell r="G60" t="str">
            <v>SHENZHEN FANYA XIANSHIHUI CO.,LTD</v>
          </cell>
          <cell r="H60" t="str">
            <v>DAGEN</v>
          </cell>
          <cell r="I60" t="str">
            <v>DAGEN /</v>
          </cell>
          <cell r="J60" t="str">
            <v>ALMAHUE EXPORT</v>
          </cell>
          <cell r="K60" t="str">
            <v>CONS-LIBRE</v>
          </cell>
          <cell r="L60" t="str">
            <v>FOB</v>
          </cell>
          <cell r="M60" t="str">
            <v>2880</v>
          </cell>
          <cell r="N60" t="str">
            <v>350330.43</v>
          </cell>
          <cell r="O60" t="str">
            <v>48359.00</v>
          </cell>
          <cell r="P60" t="str">
            <v>0.00</v>
          </cell>
          <cell r="Q60" t="str">
            <v>202912.00</v>
          </cell>
          <cell r="R60">
            <v>1937</v>
          </cell>
          <cell r="S60" t="str">
            <v>20160.00</v>
          </cell>
          <cell r="T60" t="str">
            <v>17,509,363</v>
          </cell>
          <cell r="V60" t="str">
            <v>0.00</v>
          </cell>
          <cell r="W60">
            <v>0</v>
          </cell>
          <cell r="X60" t="str">
            <v>13265319-4</v>
          </cell>
          <cell r="Y60" t="str">
            <v>12-02-2026</v>
          </cell>
          <cell r="Z60" t="str">
            <v>SI</v>
          </cell>
          <cell r="AA60" t="str">
            <v>NO</v>
          </cell>
          <cell r="AB60" t="str">
            <v>10-09-2026</v>
          </cell>
          <cell r="AC60" t="str">
            <v>Sin Aprobar</v>
          </cell>
        </row>
        <row r="61">
          <cell r="A61">
            <v>392</v>
          </cell>
          <cell r="B61" t="str">
            <v>28-01-2026</v>
          </cell>
          <cell r="C61" t="str">
            <v>28-01-2026</v>
          </cell>
          <cell r="D61" t="str">
            <v>TERRESTRE BRASIL</v>
          </cell>
          <cell r="E61" t="str">
            <v>TERRESTRE</v>
          </cell>
          <cell r="F61" t="str">
            <v>RURAL BRASIL</v>
          </cell>
          <cell r="G61" t="str">
            <v>RURAL COMERCIO DE PRODUTOS AGRICOLAS LTDA</v>
          </cell>
          <cell r="H61" t="str">
            <v>MANZANAS</v>
          </cell>
          <cell r="I61" t="str">
            <v>ROYAL GALA /</v>
          </cell>
          <cell r="J61" t="str">
            <v>ALMAHUE EXPORT</v>
          </cell>
          <cell r="K61" t="str">
            <v>FIRME</v>
          </cell>
          <cell r="L61" t="str">
            <v>FCA</v>
          </cell>
          <cell r="M61" t="str">
            <v>1008</v>
          </cell>
          <cell r="N61" t="str">
            <v>27216.00</v>
          </cell>
          <cell r="O61" t="str">
            <v>0.00</v>
          </cell>
          <cell r="P61" t="str">
            <v>0.00</v>
          </cell>
          <cell r="Q61" t="str">
            <v>27050.51</v>
          </cell>
          <cell r="R61">
            <v>1928</v>
          </cell>
          <cell r="S61" t="str">
            <v>27216.00</v>
          </cell>
          <cell r="T61" t="str">
            <v>23,363,575</v>
          </cell>
          <cell r="V61" t="str">
            <v>0.00</v>
          </cell>
          <cell r="W61">
            <v>0</v>
          </cell>
          <cell r="X61" t="str">
            <v>13260344-8</v>
          </cell>
          <cell r="Y61" t="str">
            <v>12-02-2026</v>
          </cell>
          <cell r="Z61" t="str">
            <v>SI</v>
          </cell>
          <cell r="AA61" t="str">
            <v>NO</v>
          </cell>
          <cell r="AB61" t="str">
            <v>10-09-2026</v>
          </cell>
          <cell r="AC61" t="str">
            <v>Sin Aprobar</v>
          </cell>
        </row>
        <row r="62">
          <cell r="A62">
            <v>391</v>
          </cell>
          <cell r="B62" t="str">
            <v>28-01-2026</v>
          </cell>
          <cell r="C62" t="str">
            <v>30-01-2026</v>
          </cell>
          <cell r="D62" t="str">
            <v>GUAYAQUIL EXPRESS</v>
          </cell>
          <cell r="E62" t="str">
            <v>VENTA NACIONAL</v>
          </cell>
          <cell r="F62" t="str">
            <v>EXPORTADORA FRUTAM LTDA.</v>
          </cell>
          <cell r="G62" t="str">
            <v>EXPORTADORA FRUTAM LTDA.</v>
          </cell>
          <cell r="H62" t="str">
            <v>MANZANAS</v>
          </cell>
          <cell r="I62" t="str">
            <v>ROYAL GALA /</v>
          </cell>
          <cell r="J62" t="str">
            <v>ALMAHUE EXPORT</v>
          </cell>
          <cell r="K62" t="str">
            <v>FIRME</v>
          </cell>
          <cell r="L62" t="str">
            <v>FOB</v>
          </cell>
          <cell r="M62" t="str">
            <v>1029</v>
          </cell>
          <cell r="N62" t="str">
            <v>28071120.00</v>
          </cell>
          <cell r="O62" t="str">
            <v>900000.00</v>
          </cell>
          <cell r="P62" t="str">
            <v>0.00</v>
          </cell>
          <cell r="Q62" t="str">
            <v>26114425.00</v>
          </cell>
          <cell r="S62" t="str">
            <v>0.00</v>
          </cell>
          <cell r="T62" t="str">
            <v>0</v>
          </cell>
          <cell r="V62" t="str">
            <v>0.00</v>
          </cell>
          <cell r="W62">
            <v>0</v>
          </cell>
          <cell r="Z62" t="str">
            <v>NO</v>
          </cell>
          <cell r="AA62" t="str">
            <v>NO</v>
          </cell>
          <cell r="AC62" t="str">
            <v>Sin Aprobar</v>
          </cell>
        </row>
        <row r="63">
          <cell r="A63">
            <v>390</v>
          </cell>
          <cell r="B63" t="str">
            <v>28-01-2026</v>
          </cell>
          <cell r="C63" t="str">
            <v>Sin Fecha</v>
          </cell>
          <cell r="E63" t="str">
            <v>MARITIMO</v>
          </cell>
          <cell r="F63" t="str">
            <v>RECHAZOS</v>
          </cell>
          <cell r="G63" t="str">
            <v>RECHAZOS</v>
          </cell>
          <cell r="J63" t="str">
            <v>ALMAHUE EXPORT</v>
          </cell>
          <cell r="K63" t="str">
            <v>SIN PAGO</v>
          </cell>
          <cell r="L63" t="str">
            <v>FOB</v>
          </cell>
          <cell r="M63">
            <v>0</v>
          </cell>
          <cell r="N63" t="str">
            <v>0.00</v>
          </cell>
          <cell r="O63" t="str">
            <v>0.00</v>
          </cell>
          <cell r="P63" t="str">
            <v>0.00</v>
          </cell>
          <cell r="Q63" t="str">
            <v>0.00</v>
          </cell>
          <cell r="S63" t="str">
            <v>0.00</v>
          </cell>
          <cell r="T63" t="str">
            <v>0</v>
          </cell>
          <cell r="V63" t="str">
            <v>0.00</v>
          </cell>
          <cell r="W63">
            <v>0</v>
          </cell>
          <cell r="Z63" t="str">
            <v>NO</v>
          </cell>
          <cell r="AA63" t="str">
            <v>NO</v>
          </cell>
          <cell r="AC63" t="str">
            <v>Sin Aprobar</v>
          </cell>
        </row>
        <row r="64">
          <cell r="A64">
            <v>389</v>
          </cell>
          <cell r="B64" t="str">
            <v>28-01-2026</v>
          </cell>
          <cell r="C64" t="str">
            <v>Sin Fecha</v>
          </cell>
          <cell r="E64" t="str">
            <v>MARITIMO</v>
          </cell>
          <cell r="F64" t="str">
            <v>MUESTRA USDA</v>
          </cell>
          <cell r="G64" t="str">
            <v>MUESTRA USDA</v>
          </cell>
          <cell r="J64" t="str">
            <v>ALMAHUE EXPORT</v>
          </cell>
          <cell r="K64" t="str">
            <v>SIN PAGO</v>
          </cell>
          <cell r="L64" t="str">
            <v>FOB</v>
          </cell>
          <cell r="M64">
            <v>0</v>
          </cell>
          <cell r="N64" t="str">
            <v>0.00</v>
          </cell>
          <cell r="O64" t="str">
            <v>0.00</v>
          </cell>
          <cell r="P64" t="str">
            <v>0.00</v>
          </cell>
          <cell r="Q64" t="str">
            <v>0.00</v>
          </cell>
          <cell r="S64" t="str">
            <v>0.00</v>
          </cell>
          <cell r="T64" t="str">
            <v>0</v>
          </cell>
          <cell r="V64" t="str">
            <v>0.00</v>
          </cell>
          <cell r="W64">
            <v>0</v>
          </cell>
          <cell r="Z64" t="str">
            <v>NO</v>
          </cell>
          <cell r="AA64" t="str">
            <v>NO</v>
          </cell>
          <cell r="AC64" t="str">
            <v>Sin Aprobar</v>
          </cell>
        </row>
        <row r="65">
          <cell r="A65">
            <v>388</v>
          </cell>
          <cell r="B65" t="str">
            <v>28-01-2026</v>
          </cell>
          <cell r="C65" t="str">
            <v>02-02-2026</v>
          </cell>
          <cell r="D65" t="str">
            <v>SHANGHAI</v>
          </cell>
          <cell r="E65" t="str">
            <v>MARITIMO</v>
          </cell>
          <cell r="F65" t="str">
            <v>ACUMEN</v>
          </cell>
          <cell r="G65" t="str">
            <v>COPSAYS, S.A DE C.V</v>
          </cell>
          <cell r="H65" t="str">
            <v>DURAZNOS</v>
          </cell>
          <cell r="I65" t="str">
            <v>ZEE LADY /</v>
          </cell>
          <cell r="J65" t="str">
            <v>ALMAHUE EXPORT</v>
          </cell>
          <cell r="K65" t="str">
            <v>CONS-LIBRE</v>
          </cell>
          <cell r="L65" t="str">
            <v>FOB</v>
          </cell>
          <cell r="M65" t="str">
            <v>2400</v>
          </cell>
          <cell r="N65" t="str">
            <v>52805.00</v>
          </cell>
          <cell r="O65" t="str">
            <v>4000.00</v>
          </cell>
          <cell r="P65" t="str">
            <v>0.00</v>
          </cell>
          <cell r="Q65" t="str">
            <v>35492.50</v>
          </cell>
          <cell r="R65">
            <v>1935</v>
          </cell>
          <cell r="S65" t="str">
            <v>14400.00</v>
          </cell>
          <cell r="T65" t="str">
            <v>12,457,440</v>
          </cell>
          <cell r="V65" t="str">
            <v>0.00</v>
          </cell>
          <cell r="W65">
            <v>0</v>
          </cell>
          <cell r="X65" t="str">
            <v>13259098-2</v>
          </cell>
          <cell r="Y65" t="str">
            <v>13-02-2026</v>
          </cell>
          <cell r="Z65" t="str">
            <v>SI</v>
          </cell>
          <cell r="AA65" t="str">
            <v>NO</v>
          </cell>
          <cell r="AB65" t="str">
            <v>11-09-2026</v>
          </cell>
          <cell r="AC65" t="str">
            <v>Sin Aprobar</v>
          </cell>
        </row>
        <row r="66">
          <cell r="A66">
            <v>387</v>
          </cell>
          <cell r="B66" t="str">
            <v>04-02-2026</v>
          </cell>
          <cell r="C66" t="str">
            <v>09-02-2026</v>
          </cell>
          <cell r="D66" t="str">
            <v>YANTIAN</v>
          </cell>
          <cell r="E66" t="str">
            <v>MARITIMO</v>
          </cell>
          <cell r="F66" t="str">
            <v>ACUMEN</v>
          </cell>
          <cell r="G66" t="str">
            <v>COPSAYS, S.A DE C.V</v>
          </cell>
          <cell r="H66" t="str">
            <v>NECTARINES</v>
          </cell>
          <cell r="I66" t="str">
            <v>GIANT PEARL /</v>
          </cell>
          <cell r="J66" t="str">
            <v>ALMAHUE EXPORT</v>
          </cell>
          <cell r="K66" t="str">
            <v>CONS-LIBRE</v>
          </cell>
          <cell r="L66" t="str">
            <v>FOB</v>
          </cell>
          <cell r="M66" t="str">
            <v>2400</v>
          </cell>
          <cell r="N66" t="str">
            <v>33946.50</v>
          </cell>
          <cell r="O66" t="str">
            <v>4000.00</v>
          </cell>
          <cell r="P66" t="str">
            <v>0.00</v>
          </cell>
          <cell r="Q66" t="str">
            <v>16192.85</v>
          </cell>
          <cell r="R66">
            <v>1952</v>
          </cell>
          <cell r="S66" t="str">
            <v>14400.00</v>
          </cell>
          <cell r="T66" t="str">
            <v>12,379,104</v>
          </cell>
          <cell r="V66" t="str">
            <v>0.00</v>
          </cell>
          <cell r="W66">
            <v>0</v>
          </cell>
          <cell r="X66" t="str">
            <v>13269918-6</v>
          </cell>
          <cell r="Y66" t="str">
            <v>18-02-2026</v>
          </cell>
          <cell r="Z66" t="str">
            <v>SI</v>
          </cell>
          <cell r="AA66" t="str">
            <v>NO</v>
          </cell>
          <cell r="AB66" t="str">
            <v>16-09-2026</v>
          </cell>
          <cell r="AC66" t="str">
            <v>Sin Aprobar</v>
          </cell>
        </row>
        <row r="67">
          <cell r="A67">
            <v>386</v>
          </cell>
          <cell r="B67" t="str">
            <v>30-01-2026</v>
          </cell>
          <cell r="C67" t="str">
            <v>02-02-2026</v>
          </cell>
          <cell r="D67" t="str">
            <v>SHANGHAI</v>
          </cell>
          <cell r="E67" t="str">
            <v>MARITIMO</v>
          </cell>
          <cell r="F67" t="str">
            <v>ACUMEN</v>
          </cell>
          <cell r="G67" t="str">
            <v>COPSAYS, S.A DE C.V</v>
          </cell>
          <cell r="H67" t="str">
            <v>NECTARINES</v>
          </cell>
          <cell r="I67" t="str">
            <v>BRIGHT PEARL /</v>
          </cell>
          <cell r="J67" t="str">
            <v>ALMAHUE EXPORT</v>
          </cell>
          <cell r="K67" t="str">
            <v>CONS-LIBRE</v>
          </cell>
          <cell r="L67" t="str">
            <v>FOB</v>
          </cell>
          <cell r="M67" t="str">
            <v>2400</v>
          </cell>
          <cell r="N67" t="str">
            <v>28085.00</v>
          </cell>
          <cell r="O67" t="str">
            <v>4000.00</v>
          </cell>
          <cell r="P67" t="str">
            <v>0.00</v>
          </cell>
          <cell r="Q67" t="str">
            <v>10738.50</v>
          </cell>
          <cell r="R67">
            <v>1934</v>
          </cell>
          <cell r="S67" t="str">
            <v>14400.00</v>
          </cell>
          <cell r="T67" t="str">
            <v>12,457,440</v>
          </cell>
          <cell r="V67" t="str">
            <v>0.00</v>
          </cell>
          <cell r="W67">
            <v>0</v>
          </cell>
          <cell r="X67" t="str">
            <v>13259210-1</v>
          </cell>
          <cell r="Y67" t="str">
            <v>13-02-2026</v>
          </cell>
          <cell r="Z67" t="str">
            <v>SI</v>
          </cell>
          <cell r="AA67" t="str">
            <v>NO</v>
          </cell>
          <cell r="AB67" t="str">
            <v>11-09-2026</v>
          </cell>
          <cell r="AC67" t="str">
            <v>Sin Aprobar</v>
          </cell>
        </row>
        <row r="68">
          <cell r="A68">
            <v>385</v>
          </cell>
          <cell r="B68" t="str">
            <v>30-01-2026</v>
          </cell>
          <cell r="C68" t="str">
            <v>02-02-2026</v>
          </cell>
          <cell r="D68" t="str">
            <v>SHANGHAI</v>
          </cell>
          <cell r="E68" t="str">
            <v>MARITIMO</v>
          </cell>
          <cell r="F68" t="str">
            <v>ACUMEN</v>
          </cell>
          <cell r="G68" t="str">
            <v>COPSAYS, S.A DE C.V</v>
          </cell>
          <cell r="H68" t="str">
            <v>DURAZNOSNECTARINES</v>
          </cell>
          <cell r="I68" t="str">
            <v>ZEE LADY / BRIGHT PEARL / GIANT PEARL /</v>
          </cell>
          <cell r="J68" t="str">
            <v>ALMAHUE EXPORT</v>
          </cell>
          <cell r="K68" t="str">
            <v>CONS-LIBRE</v>
          </cell>
          <cell r="L68" t="str">
            <v>FOB</v>
          </cell>
          <cell r="M68" t="str">
            <v>2380</v>
          </cell>
          <cell r="N68" t="str">
            <v>26040.50</v>
          </cell>
          <cell r="O68" t="str">
            <v>4000.00</v>
          </cell>
          <cell r="P68" t="str">
            <v>0.00</v>
          </cell>
          <cell r="Q68" t="str">
            <v>11553.45</v>
          </cell>
          <cell r="R68">
            <v>1933</v>
          </cell>
          <cell r="S68" t="str">
            <v>14280.00</v>
          </cell>
          <cell r="T68" t="str">
            <v>12,353,628</v>
          </cell>
          <cell r="V68" t="str">
            <v>0.00</v>
          </cell>
          <cell r="W68">
            <v>0</v>
          </cell>
          <cell r="X68" t="str">
            <v>13263237-5</v>
          </cell>
          <cell r="Y68" t="str">
            <v>13-02-2026</v>
          </cell>
          <cell r="Z68" t="str">
            <v>SI</v>
          </cell>
          <cell r="AA68" t="str">
            <v>NO</v>
          </cell>
          <cell r="AB68" t="str">
            <v>11-09-2026</v>
          </cell>
          <cell r="AC68" t="str">
            <v>Sin Aprobar</v>
          </cell>
        </row>
        <row r="69">
          <cell r="A69">
            <v>384</v>
          </cell>
          <cell r="B69" t="str">
            <v>28-01-2026</v>
          </cell>
          <cell r="C69" t="str">
            <v>30-01-2026</v>
          </cell>
          <cell r="D69" t="str">
            <v>ONE SPHERE</v>
          </cell>
          <cell r="E69" t="str">
            <v>MARITIMO</v>
          </cell>
          <cell r="F69" t="str">
            <v>HUASHENG</v>
          </cell>
          <cell r="G69" t="str">
            <v>CHUN WAN YI (GUANGZHOU) SUPPLY CHAIN MANAGEMENT CO., LTD</v>
          </cell>
          <cell r="H69" t="str">
            <v>DAGEN</v>
          </cell>
          <cell r="I69" t="str">
            <v>DAGEN /</v>
          </cell>
          <cell r="J69" t="str">
            <v>ALMAHUE EXPORT</v>
          </cell>
          <cell r="K69" t="str">
            <v>CONS-LIBRE</v>
          </cell>
          <cell r="L69" t="str">
            <v>FOB</v>
          </cell>
          <cell r="M69" t="str">
            <v>2400</v>
          </cell>
          <cell r="N69" t="str">
            <v>56674.60</v>
          </cell>
          <cell r="O69" t="str">
            <v>6988.71</v>
          </cell>
          <cell r="P69" t="str">
            <v>0.00</v>
          </cell>
          <cell r="Q69" t="str">
            <v>37456.88</v>
          </cell>
          <cell r="R69">
            <v>1923</v>
          </cell>
          <cell r="S69" t="str">
            <v>16800.00</v>
          </cell>
          <cell r="T69" t="str">
            <v>14,421,960</v>
          </cell>
          <cell r="V69" t="str">
            <v>0.00</v>
          </cell>
          <cell r="W69">
            <v>0</v>
          </cell>
          <cell r="X69" t="str">
            <v>13258843-0</v>
          </cell>
          <cell r="Y69" t="str">
            <v>04-02-2026</v>
          </cell>
          <cell r="Z69" t="str">
            <v>SI</v>
          </cell>
          <cell r="AA69" t="str">
            <v>NO</v>
          </cell>
          <cell r="AB69" t="str">
            <v>02-09-2026</v>
          </cell>
          <cell r="AC69" t="str">
            <v>Sin Aprobar</v>
          </cell>
        </row>
        <row r="70">
          <cell r="A70">
            <v>383</v>
          </cell>
          <cell r="B70" t="str">
            <v>28-01-2026</v>
          </cell>
          <cell r="C70" t="str">
            <v>30-01-2026</v>
          </cell>
          <cell r="D70" t="str">
            <v>ONE SPHERE</v>
          </cell>
          <cell r="E70" t="str">
            <v>MARITIMO</v>
          </cell>
          <cell r="F70" t="str">
            <v>HING LEE</v>
          </cell>
          <cell r="G70" t="str">
            <v>SHENZHEN JINSHUN'AN INTERNATIONAL FREIGHT FORWARDING CO.,LTD</v>
          </cell>
          <cell r="H70" t="str">
            <v>DAGEN</v>
          </cell>
          <cell r="I70" t="str">
            <v>DAGEN /</v>
          </cell>
          <cell r="J70" t="str">
            <v>ALMAHUE EXPORT</v>
          </cell>
          <cell r="K70" t="str">
            <v>CONS-LIBRE</v>
          </cell>
          <cell r="L70" t="str">
            <v>FOB</v>
          </cell>
          <cell r="M70" t="str">
            <v>2400</v>
          </cell>
          <cell r="N70" t="str">
            <v>54398.68</v>
          </cell>
          <cell r="O70" t="str">
            <v>7937.00</v>
          </cell>
          <cell r="P70" t="str">
            <v>0.00</v>
          </cell>
          <cell r="Q70" t="str">
            <v>34819.76</v>
          </cell>
          <cell r="R70">
            <v>1925</v>
          </cell>
          <cell r="S70" t="str">
            <v>16800.00</v>
          </cell>
          <cell r="T70" t="str">
            <v>14,421,960</v>
          </cell>
          <cell r="V70" t="str">
            <v>0.00</v>
          </cell>
          <cell r="W70">
            <v>0</v>
          </cell>
          <cell r="X70" t="str">
            <v>13258940-2</v>
          </cell>
          <cell r="Y70" t="str">
            <v>04-02-2026</v>
          </cell>
          <cell r="Z70" t="str">
            <v>SI</v>
          </cell>
          <cell r="AA70" t="str">
            <v>NO</v>
          </cell>
          <cell r="AB70" t="str">
            <v>02-09-2026</v>
          </cell>
          <cell r="AC70" t="str">
            <v>Sin Aprobar</v>
          </cell>
        </row>
        <row r="71">
          <cell r="A71">
            <v>382</v>
          </cell>
          <cell r="B71" t="str">
            <v>29-01-2026</v>
          </cell>
          <cell r="C71" t="str">
            <v>30-01-2026</v>
          </cell>
          <cell r="D71" t="str">
            <v>ONE SPHERE</v>
          </cell>
          <cell r="E71" t="str">
            <v>MARITIMO</v>
          </cell>
          <cell r="F71" t="str">
            <v>HUASHENG</v>
          </cell>
          <cell r="G71" t="str">
            <v>CHUN WAN YI (GUANGZHOU) SUPPLY CHAIN MANAGEMENT CO., LTD</v>
          </cell>
          <cell r="H71" t="str">
            <v>NECTARINES</v>
          </cell>
          <cell r="I71" t="str">
            <v>BRIGHT PEARL / GIANT PEARL /</v>
          </cell>
          <cell r="J71" t="str">
            <v>ALMAHUE EXPORT</v>
          </cell>
          <cell r="K71" t="str">
            <v>CONS-LIBRE</v>
          </cell>
          <cell r="L71" t="str">
            <v>FOB</v>
          </cell>
          <cell r="M71" t="str">
            <v>2400</v>
          </cell>
          <cell r="N71" t="str">
            <v>36678.58</v>
          </cell>
          <cell r="O71" t="str">
            <v>6988.71</v>
          </cell>
          <cell r="P71" t="str">
            <v>0.00</v>
          </cell>
          <cell r="Q71" t="str">
            <v>19307.28</v>
          </cell>
          <cell r="R71">
            <v>1922</v>
          </cell>
          <cell r="S71" t="str">
            <v>14400.00</v>
          </cell>
          <cell r="T71" t="str">
            <v>12,361,680</v>
          </cell>
          <cell r="V71" t="str">
            <v>0.00</v>
          </cell>
          <cell r="W71">
            <v>0</v>
          </cell>
          <cell r="X71" t="str">
            <v>13258999-2</v>
          </cell>
          <cell r="Y71" t="str">
            <v>04-02-2026</v>
          </cell>
          <cell r="Z71" t="str">
            <v>SI</v>
          </cell>
          <cell r="AA71" t="str">
            <v>NO</v>
          </cell>
          <cell r="AB71" t="str">
            <v>02-09-2026</v>
          </cell>
          <cell r="AC71" t="str">
            <v>Sin Aprobar</v>
          </cell>
        </row>
        <row r="72">
          <cell r="A72">
            <v>381</v>
          </cell>
          <cell r="B72" t="str">
            <v>28-01-2026</v>
          </cell>
          <cell r="C72" t="str">
            <v>30-01-2026</v>
          </cell>
          <cell r="D72" t="str">
            <v>ONE SPHERE</v>
          </cell>
          <cell r="E72" t="str">
            <v>MARITIMO</v>
          </cell>
          <cell r="F72" t="str">
            <v>HING LEE</v>
          </cell>
          <cell r="G72" t="str">
            <v>SHENZHEN JINSHUN'AN INTERNATIONAL FREIGHT FORWARDING CO.,LTD</v>
          </cell>
          <cell r="H72" t="str">
            <v>NECTARINES</v>
          </cell>
          <cell r="I72" t="str">
            <v>BRIGHT PEARL / GIANT PEARL /</v>
          </cell>
          <cell r="J72" t="str">
            <v>ALMAHUE EXPORT</v>
          </cell>
          <cell r="K72" t="str">
            <v>CONS-LIBRE</v>
          </cell>
          <cell r="L72" t="str">
            <v>FOB</v>
          </cell>
          <cell r="M72" t="str">
            <v>2400</v>
          </cell>
          <cell r="N72" t="str">
            <v>36488.16</v>
          </cell>
          <cell r="O72" t="str">
            <v>7096.00</v>
          </cell>
          <cell r="P72" t="str">
            <v>0.00</v>
          </cell>
          <cell r="Q72" t="str">
            <v>19589.87</v>
          </cell>
          <cell r="R72">
            <v>1924</v>
          </cell>
          <cell r="S72" t="str">
            <v>14400.00</v>
          </cell>
          <cell r="T72" t="str">
            <v>12,361,680</v>
          </cell>
          <cell r="V72" t="str">
            <v>0.00</v>
          </cell>
          <cell r="W72">
            <v>0</v>
          </cell>
          <cell r="X72" t="str">
            <v>13258769-8</v>
          </cell>
          <cell r="Y72" t="str">
            <v>04-02-2026</v>
          </cell>
          <cell r="Z72" t="str">
            <v>SI</v>
          </cell>
          <cell r="AA72" t="str">
            <v>NO</v>
          </cell>
          <cell r="AB72" t="str">
            <v>02-09-2026</v>
          </cell>
          <cell r="AC72" t="str">
            <v>Sin Aprobar</v>
          </cell>
        </row>
        <row r="73">
          <cell r="A73">
            <v>380</v>
          </cell>
          <cell r="B73" t="str">
            <v>27-01-2026</v>
          </cell>
          <cell r="C73" t="str">
            <v>29-01-2026</v>
          </cell>
          <cell r="D73" t="str">
            <v>MAERSK BENGUELA</v>
          </cell>
          <cell r="E73" t="str">
            <v>VENTA NACIONAL</v>
          </cell>
          <cell r="F73" t="str">
            <v>EXPORTADORA FRUTAM LTDA.</v>
          </cell>
          <cell r="G73" t="str">
            <v>EXPORTADORA FRUTAM LTDA.</v>
          </cell>
          <cell r="H73" t="str">
            <v>MANZANAS</v>
          </cell>
          <cell r="I73" t="str">
            <v>ROYAL GALA /</v>
          </cell>
          <cell r="J73" t="str">
            <v>ALMAHUE EXPORT</v>
          </cell>
          <cell r="K73" t="str">
            <v>FIRME</v>
          </cell>
          <cell r="L73" t="str">
            <v>FOB</v>
          </cell>
          <cell r="M73" t="str">
            <v>490</v>
          </cell>
          <cell r="N73" t="str">
            <v>12985000.00</v>
          </cell>
          <cell r="O73" t="str">
            <v>650000.00</v>
          </cell>
          <cell r="P73" t="str">
            <v>0.00</v>
          </cell>
          <cell r="Q73" t="str">
            <v>12006612.00</v>
          </cell>
          <cell r="S73" t="str">
            <v>0.00</v>
          </cell>
          <cell r="T73" t="str">
            <v>0</v>
          </cell>
          <cell r="V73" t="str">
            <v>0.00</v>
          </cell>
          <cell r="W73">
            <v>0</v>
          </cell>
          <cell r="Z73" t="str">
            <v>NO</v>
          </cell>
          <cell r="AA73" t="str">
            <v>NO</v>
          </cell>
          <cell r="AC73" t="str">
            <v>Sin Aprobar</v>
          </cell>
        </row>
        <row r="74">
          <cell r="A74">
            <v>379</v>
          </cell>
          <cell r="B74" t="str">
            <v>27-01-2026</v>
          </cell>
          <cell r="C74" t="str">
            <v>29-01-2026</v>
          </cell>
          <cell r="D74" t="str">
            <v>MAERSK BENGUELA</v>
          </cell>
          <cell r="E74" t="str">
            <v>MARITIMO</v>
          </cell>
          <cell r="F74" t="str">
            <v>SABINCOLOMBIA SAS</v>
          </cell>
          <cell r="G74" t="str">
            <v>SABINCOLOMBIA SAS</v>
          </cell>
          <cell r="H74" t="str">
            <v>MANZANAS</v>
          </cell>
          <cell r="I74" t="str">
            <v>ROYAL GALA /</v>
          </cell>
          <cell r="J74" t="str">
            <v>ALMAHUE EXPORT</v>
          </cell>
          <cell r="K74" t="str">
            <v>FIRME</v>
          </cell>
          <cell r="L74" t="str">
            <v>FOB</v>
          </cell>
          <cell r="M74" t="str">
            <v>1029</v>
          </cell>
          <cell r="N74" t="str">
            <v>25725.00</v>
          </cell>
          <cell r="O74" t="str">
            <v>756.11</v>
          </cell>
          <cell r="P74" t="str">
            <v>0.00</v>
          </cell>
          <cell r="Q74" t="str">
            <v>24613.68</v>
          </cell>
          <cell r="R74">
            <v>1926</v>
          </cell>
          <cell r="S74" t="str">
            <v>25725.00</v>
          </cell>
          <cell r="T74" t="str">
            <v>22,083,626</v>
          </cell>
          <cell r="V74" t="str">
            <v>0.00</v>
          </cell>
          <cell r="W74">
            <v>0</v>
          </cell>
          <cell r="X74" t="str">
            <v>13255579-6</v>
          </cell>
          <cell r="Y74" t="str">
            <v>12-02-2026</v>
          </cell>
          <cell r="Z74" t="str">
            <v>SI</v>
          </cell>
          <cell r="AA74" t="str">
            <v>NO</v>
          </cell>
          <cell r="AB74" t="str">
            <v>10-09-2026</v>
          </cell>
          <cell r="AC74" t="str">
            <v>Sin Aprobar</v>
          </cell>
        </row>
        <row r="75">
          <cell r="A75">
            <v>378</v>
          </cell>
          <cell r="B75" t="str">
            <v>26-01-2026</v>
          </cell>
          <cell r="C75" t="str">
            <v>30-01-2026</v>
          </cell>
          <cell r="D75" t="str">
            <v>GUAYAQUIL EXPRESS</v>
          </cell>
          <cell r="E75" t="str">
            <v>MARITIMO</v>
          </cell>
          <cell r="F75" t="str">
            <v>SARCOFRUIT SARANGO</v>
          </cell>
          <cell r="G75" t="str">
            <v>IMPORTADORA DE FRUTAS SARANGO S.A. SARCOFRUIT</v>
          </cell>
          <cell r="H75" t="str">
            <v>MANZANAS</v>
          </cell>
          <cell r="I75" t="str">
            <v>ROYAL GALA /</v>
          </cell>
          <cell r="J75" t="str">
            <v>ALMAHUE EXPORT</v>
          </cell>
          <cell r="K75" t="str">
            <v>FIRME</v>
          </cell>
          <cell r="L75" t="str">
            <v>FOB</v>
          </cell>
          <cell r="M75" t="str">
            <v>1029</v>
          </cell>
          <cell r="N75" t="str">
            <v>26445.30</v>
          </cell>
          <cell r="O75" t="str">
            <v>720.30</v>
          </cell>
          <cell r="P75" t="str">
            <v>0.00</v>
          </cell>
          <cell r="Q75" t="str">
            <v>25725.00</v>
          </cell>
          <cell r="R75">
            <v>1927</v>
          </cell>
          <cell r="S75" t="str">
            <v>25725.00</v>
          </cell>
          <cell r="T75" t="str">
            <v>22,083,626</v>
          </cell>
          <cell r="V75" t="str">
            <v>0.00</v>
          </cell>
          <cell r="W75">
            <v>0</v>
          </cell>
          <cell r="X75" t="str">
            <v>13255471-4</v>
          </cell>
          <cell r="Y75" t="str">
            <v>12-02-2026</v>
          </cell>
          <cell r="Z75" t="str">
            <v>SI</v>
          </cell>
          <cell r="AA75" t="str">
            <v>NO</v>
          </cell>
          <cell r="AB75" t="str">
            <v>10-09-2026</v>
          </cell>
          <cell r="AC75" t="str">
            <v>Sin Aprobar</v>
          </cell>
        </row>
        <row r="76">
          <cell r="A76">
            <v>377</v>
          </cell>
          <cell r="B76" t="str">
            <v>26-01-2026</v>
          </cell>
          <cell r="C76" t="str">
            <v>27-01-2026</v>
          </cell>
          <cell r="D76" t="str">
            <v>MSC LOME V</v>
          </cell>
          <cell r="E76" t="str">
            <v>MARITIMO</v>
          </cell>
          <cell r="F76" t="str">
            <v>HUASHENG</v>
          </cell>
          <cell r="G76" t="str">
            <v>CHUN WAN YI (GUANGZHOU) SUPPLY CHAIN MANAGEMENT CO., LTD</v>
          </cell>
          <cell r="H76" t="str">
            <v>NECTARINES</v>
          </cell>
          <cell r="I76" t="str">
            <v>BRIGHT PEARL / GIANT PEARL /</v>
          </cell>
          <cell r="J76" t="str">
            <v>ALMAHUE EXPORT</v>
          </cell>
          <cell r="K76" t="str">
            <v>CONS-LIBRE</v>
          </cell>
          <cell r="L76" t="str">
            <v>FOB</v>
          </cell>
          <cell r="M76" t="str">
            <v>2400</v>
          </cell>
          <cell r="N76" t="str">
            <v>39471.59</v>
          </cell>
          <cell r="O76" t="str">
            <v>6947.43</v>
          </cell>
          <cell r="P76" t="str">
            <v>0.00</v>
          </cell>
          <cell r="Q76" t="str">
            <v>24539.44</v>
          </cell>
          <cell r="R76">
            <v>1919</v>
          </cell>
          <cell r="S76" t="str">
            <v>14400.00</v>
          </cell>
          <cell r="T76" t="str">
            <v>12,426,912</v>
          </cell>
          <cell r="V76" t="str">
            <v>0.00</v>
          </cell>
          <cell r="W76">
            <v>0</v>
          </cell>
          <cell r="X76" t="str">
            <v>13253049-1</v>
          </cell>
          <cell r="Y76" t="str">
            <v>03-02-2026</v>
          </cell>
          <cell r="Z76" t="str">
            <v>SI</v>
          </cell>
          <cell r="AA76" t="str">
            <v>NO</v>
          </cell>
          <cell r="AB76" t="str">
            <v>01-09-2026</v>
          </cell>
          <cell r="AC76" t="str">
            <v>Sin Aprobar</v>
          </cell>
        </row>
        <row r="77">
          <cell r="A77">
            <v>376</v>
          </cell>
          <cell r="B77" t="str">
            <v>22-01-2026</v>
          </cell>
          <cell r="C77" t="str">
            <v>27-01-2026</v>
          </cell>
          <cell r="D77" t="str">
            <v>XIN OU ZHOU</v>
          </cell>
          <cell r="E77" t="str">
            <v>MARITIMO</v>
          </cell>
          <cell r="F77" t="str">
            <v>ACUMEN</v>
          </cell>
          <cell r="G77" t="str">
            <v>COPSAYS, S.A DE C.V</v>
          </cell>
          <cell r="H77" t="str">
            <v>DURAZNOS</v>
          </cell>
          <cell r="I77" t="str">
            <v>ZEE LADY /</v>
          </cell>
          <cell r="J77" t="str">
            <v>ALMAHUE EXPORT</v>
          </cell>
          <cell r="K77" t="str">
            <v>CONS-LIBRE</v>
          </cell>
          <cell r="L77" t="str">
            <v>FOB</v>
          </cell>
          <cell r="M77" t="str">
            <v>2309</v>
          </cell>
          <cell r="N77" t="str">
            <v>50006.50</v>
          </cell>
          <cell r="O77" t="str">
            <v>4000.00</v>
          </cell>
          <cell r="P77" t="str">
            <v>0.00</v>
          </cell>
          <cell r="Q77" t="str">
            <v>32222.50</v>
          </cell>
          <cell r="R77">
            <v>1921</v>
          </cell>
          <cell r="S77" t="str">
            <v>13854.00</v>
          </cell>
          <cell r="T77" t="str">
            <v>11,955,725</v>
          </cell>
          <cell r="V77" t="str">
            <v>0.00</v>
          </cell>
          <cell r="W77">
            <v>0</v>
          </cell>
          <cell r="X77" t="str">
            <v>13248632-8</v>
          </cell>
          <cell r="Y77" t="str">
            <v>03-02-2026</v>
          </cell>
          <cell r="Z77" t="str">
            <v>SI</v>
          </cell>
          <cell r="AA77" t="str">
            <v>NO</v>
          </cell>
          <cell r="AB77" t="str">
            <v>01-09-2026</v>
          </cell>
          <cell r="AC77" t="str">
            <v>Sin Aprobar</v>
          </cell>
        </row>
        <row r="78">
          <cell r="A78">
            <v>375</v>
          </cell>
          <cell r="B78" t="str">
            <v>22-01-2026</v>
          </cell>
          <cell r="C78" t="str">
            <v>27-01-2026</v>
          </cell>
          <cell r="D78" t="str">
            <v>XIN OU ZHOU</v>
          </cell>
          <cell r="E78" t="str">
            <v>MARITIMO</v>
          </cell>
          <cell r="F78" t="str">
            <v>ACUMEN</v>
          </cell>
          <cell r="G78" t="str">
            <v>COPSAYS, S.A DE C.V</v>
          </cell>
          <cell r="H78" t="str">
            <v>DURAZNOS</v>
          </cell>
          <cell r="I78" t="str">
            <v>ZEE LADY /</v>
          </cell>
          <cell r="J78" t="str">
            <v>ALMAHUE EXPORT</v>
          </cell>
          <cell r="K78" t="str">
            <v>CONS-LIBRE</v>
          </cell>
          <cell r="L78" t="str">
            <v>FOB</v>
          </cell>
          <cell r="M78" t="str">
            <v>2400</v>
          </cell>
          <cell r="N78" t="str">
            <v>62459.50</v>
          </cell>
          <cell r="O78" t="str">
            <v>4000.00</v>
          </cell>
          <cell r="P78" t="str">
            <v>0.00</v>
          </cell>
          <cell r="Q78" t="str">
            <v>42233.55</v>
          </cell>
          <cell r="R78">
            <v>1920</v>
          </cell>
          <cell r="S78" t="str">
            <v>14400.00</v>
          </cell>
          <cell r="T78" t="str">
            <v>12,426,912</v>
          </cell>
          <cell r="V78" t="str">
            <v>0.00</v>
          </cell>
          <cell r="W78">
            <v>0</v>
          </cell>
          <cell r="X78" t="str">
            <v>13248644-1</v>
          </cell>
          <cell r="Y78" t="str">
            <v>03-02-2026</v>
          </cell>
          <cell r="Z78" t="str">
            <v>SI</v>
          </cell>
          <cell r="AA78" t="str">
            <v>NO</v>
          </cell>
          <cell r="AB78" t="str">
            <v>01-09-2026</v>
          </cell>
          <cell r="AC78" t="str">
            <v>Sin Aprobar</v>
          </cell>
        </row>
        <row r="79">
          <cell r="A79">
            <v>374</v>
          </cell>
          <cell r="B79" t="str">
            <v>23-01-2026</v>
          </cell>
          <cell r="C79" t="str">
            <v>27-01-2026</v>
          </cell>
          <cell r="D79" t="str">
            <v>EVER LIBERAL</v>
          </cell>
          <cell r="E79" t="str">
            <v>MARITIMO</v>
          </cell>
          <cell r="F79" t="str">
            <v>KINGO TAIWAN</v>
          </cell>
          <cell r="G79" t="str">
            <v>KINGO FRUITS CO., LTD.</v>
          </cell>
          <cell r="H79" t="str">
            <v>CIRUELAS</v>
          </cell>
          <cell r="I79" t="str">
            <v>DAPPLE DANDY /</v>
          </cell>
          <cell r="J79" t="str">
            <v>ALMAHUE EXPORT</v>
          </cell>
          <cell r="K79" t="str">
            <v>CONS-LIBRE</v>
          </cell>
          <cell r="L79" t="str">
            <v>FOB</v>
          </cell>
          <cell r="M79" t="str">
            <v>1744</v>
          </cell>
          <cell r="N79" t="str">
            <v>18833.15</v>
          </cell>
          <cell r="O79" t="str">
            <v>6800.00</v>
          </cell>
          <cell r="P79" t="str">
            <v>0.00</v>
          </cell>
          <cell r="Q79" t="str">
            <v>1912.65</v>
          </cell>
          <cell r="R79">
            <v>1918</v>
          </cell>
          <cell r="S79" t="str">
            <v>12208.00</v>
          </cell>
          <cell r="T79" t="str">
            <v>10,535,260</v>
          </cell>
          <cell r="V79" t="str">
            <v>0.00</v>
          </cell>
          <cell r="W79">
            <v>0</v>
          </cell>
          <cell r="X79" t="str">
            <v>13251550-6</v>
          </cell>
          <cell r="Y79" t="str">
            <v>03-02-2026</v>
          </cell>
          <cell r="Z79" t="str">
            <v>SI</v>
          </cell>
          <cell r="AA79" t="str">
            <v>NO</v>
          </cell>
          <cell r="AB79" t="str">
            <v>01-09-2026</v>
          </cell>
          <cell r="AC79" t="str">
            <v>Sin Aprobar</v>
          </cell>
        </row>
        <row r="80">
          <cell r="A80">
            <v>373</v>
          </cell>
          <cell r="B80" t="str">
            <v>26-01-2026</v>
          </cell>
          <cell r="C80" t="str">
            <v>27-01-2026</v>
          </cell>
          <cell r="D80" t="str">
            <v>MSC LOME V</v>
          </cell>
          <cell r="E80" t="str">
            <v>MARITIMO</v>
          </cell>
          <cell r="F80" t="str">
            <v>FRESH LINK GUANGZHOU</v>
          </cell>
          <cell r="G80" t="str">
            <v>SHENZHEN FANYA XIANSHIHUI CO.,LTD</v>
          </cell>
          <cell r="H80" t="str">
            <v>NECTARINES</v>
          </cell>
          <cell r="I80" t="str">
            <v>GIANT PEARL /</v>
          </cell>
          <cell r="J80" t="str">
            <v>ALMAHUE EXPORT</v>
          </cell>
          <cell r="K80" t="str">
            <v>CONS-LIBRE</v>
          </cell>
          <cell r="L80" t="str">
            <v>FOB</v>
          </cell>
          <cell r="M80" t="str">
            <v>2400</v>
          </cell>
          <cell r="N80" t="str">
            <v>308125.02</v>
          </cell>
          <cell r="O80" t="str">
            <v>48754.00</v>
          </cell>
          <cell r="P80" t="str">
            <v>0.00</v>
          </cell>
          <cell r="Q80" t="str">
            <v>190212.02</v>
          </cell>
          <cell r="R80">
            <v>1915</v>
          </cell>
          <cell r="S80" t="str">
            <v>14400.00</v>
          </cell>
          <cell r="T80" t="str">
            <v>12,426,912</v>
          </cell>
          <cell r="V80" t="str">
            <v>0.00</v>
          </cell>
          <cell r="W80">
            <v>0</v>
          </cell>
          <cell r="X80" t="str">
            <v>13253011-4</v>
          </cell>
          <cell r="Y80" t="str">
            <v>03-02-2026</v>
          </cell>
          <cell r="Z80" t="str">
            <v>SI</v>
          </cell>
          <cell r="AA80" t="str">
            <v>NO</v>
          </cell>
          <cell r="AB80" t="str">
            <v>01-09-2026</v>
          </cell>
          <cell r="AC80" t="str">
            <v>Sin Aprobar</v>
          </cell>
        </row>
        <row r="81">
          <cell r="A81">
            <v>372</v>
          </cell>
          <cell r="B81" t="str">
            <v>23-01-2026</v>
          </cell>
          <cell r="C81" t="str">
            <v>27-01-2026</v>
          </cell>
          <cell r="D81" t="str">
            <v>EVER LIBERAL</v>
          </cell>
          <cell r="E81" t="str">
            <v>MARITIMO</v>
          </cell>
          <cell r="F81" t="str">
            <v>HUASHENG</v>
          </cell>
          <cell r="G81" t="str">
            <v>CHUN WAN YI (GUANGZHOU) SUPPLY CHAIN MANAGEMENT CO., LTD</v>
          </cell>
          <cell r="H81" t="str">
            <v>NECTARINES</v>
          </cell>
          <cell r="I81" t="str">
            <v>GIANT PEARL /</v>
          </cell>
          <cell r="J81" t="str">
            <v>ALMAHUE EXPORT</v>
          </cell>
          <cell r="K81" t="str">
            <v>CONS-LIBRE</v>
          </cell>
          <cell r="L81" t="str">
            <v>FOB</v>
          </cell>
          <cell r="M81" t="str">
            <v>2400</v>
          </cell>
          <cell r="N81" t="str">
            <v>24947.40</v>
          </cell>
          <cell r="O81" t="str">
            <v>6789.00</v>
          </cell>
          <cell r="P81" t="str">
            <v>0.00</v>
          </cell>
          <cell r="Q81" t="str">
            <v>9143.23</v>
          </cell>
          <cell r="R81">
            <v>1917</v>
          </cell>
          <cell r="S81" t="str">
            <v>14400.00</v>
          </cell>
          <cell r="T81" t="str">
            <v>12,426,912</v>
          </cell>
          <cell r="V81" t="str">
            <v>0.00</v>
          </cell>
          <cell r="W81">
            <v>0</v>
          </cell>
          <cell r="X81" t="str">
            <v>13250498-9</v>
          </cell>
          <cell r="Y81" t="str">
            <v>03-02-2026</v>
          </cell>
          <cell r="Z81" t="str">
            <v>SI</v>
          </cell>
          <cell r="AA81" t="str">
            <v>NO</v>
          </cell>
          <cell r="AB81" t="str">
            <v>01-09-2026</v>
          </cell>
          <cell r="AC81" t="str">
            <v>Sin Aprobar</v>
          </cell>
        </row>
        <row r="82">
          <cell r="A82">
            <v>371</v>
          </cell>
          <cell r="B82" t="str">
            <v>22-01-2026</v>
          </cell>
          <cell r="C82" t="str">
            <v>27-01-2026</v>
          </cell>
          <cell r="D82" t="str">
            <v>EVER LIBERAL</v>
          </cell>
          <cell r="E82" t="str">
            <v>MARITIMO</v>
          </cell>
          <cell r="F82" t="str">
            <v>HING LEE</v>
          </cell>
          <cell r="G82" t="str">
            <v>SHENZHEN JINSHUN'AN INTERNATIONAL FREIGHT FORWARDING CO.,LTD</v>
          </cell>
          <cell r="H82" t="str">
            <v>NECTARINES</v>
          </cell>
          <cell r="I82" t="str">
            <v>BRIGHT PEARL / GIANT PEARL /</v>
          </cell>
          <cell r="J82" t="str">
            <v>ALMAHUE EXPORT</v>
          </cell>
          <cell r="K82" t="str">
            <v>CONS-LIBRE</v>
          </cell>
          <cell r="L82" t="str">
            <v>FOB</v>
          </cell>
          <cell r="M82" t="str">
            <v>2400</v>
          </cell>
          <cell r="N82" t="str">
            <v>26480.63</v>
          </cell>
          <cell r="O82" t="str">
            <v>6820.00</v>
          </cell>
          <cell r="P82" t="str">
            <v>0.00</v>
          </cell>
          <cell r="Q82" t="str">
            <v>12094.79</v>
          </cell>
          <cell r="R82">
            <v>1916</v>
          </cell>
          <cell r="S82" t="str">
            <v>14400.00</v>
          </cell>
          <cell r="T82" t="str">
            <v>12,426,912</v>
          </cell>
          <cell r="V82" t="str">
            <v>0.00</v>
          </cell>
          <cell r="W82">
            <v>0</v>
          </cell>
          <cell r="X82" t="str">
            <v>13247238-6</v>
          </cell>
          <cell r="Y82" t="str">
            <v>03-02-2026</v>
          </cell>
          <cell r="Z82" t="str">
            <v>SI</v>
          </cell>
          <cell r="AA82" t="str">
            <v>NO</v>
          </cell>
          <cell r="AB82" t="str">
            <v>01-09-2026</v>
          </cell>
          <cell r="AC82" t="str">
            <v>Sin Aprobar</v>
          </cell>
        </row>
        <row r="83">
          <cell r="A83">
            <v>370</v>
          </cell>
          <cell r="B83" t="str">
            <v>24-01-2026</v>
          </cell>
          <cell r="C83" t="str">
            <v>27-01-2026</v>
          </cell>
          <cell r="D83" t="str">
            <v>MSC LOME V</v>
          </cell>
          <cell r="E83" t="str">
            <v>MARITIMO</v>
          </cell>
          <cell r="F83" t="str">
            <v>FRUITCEO CO.,LIMITED</v>
          </cell>
          <cell r="G83" t="str">
            <v>SHANGHAI HUI ZHAN INTERNATIONAL TRADE CO., LTD</v>
          </cell>
          <cell r="H83" t="str">
            <v>DAGEN</v>
          </cell>
          <cell r="I83" t="str">
            <v>DAGEN /</v>
          </cell>
          <cell r="J83" t="str">
            <v>ALMAHUE EXPORT</v>
          </cell>
          <cell r="K83" t="str">
            <v>CONS-LIBRE</v>
          </cell>
          <cell r="L83" t="str">
            <v>FOB</v>
          </cell>
          <cell r="M83" t="str">
            <v>2280</v>
          </cell>
          <cell r="N83" t="str">
            <v>319599.93</v>
          </cell>
          <cell r="O83" t="str">
            <v>48581.30</v>
          </cell>
          <cell r="P83" t="str">
            <v>0.00</v>
          </cell>
          <cell r="Q83" t="str">
            <v>201732.63</v>
          </cell>
          <cell r="R83">
            <v>1914</v>
          </cell>
          <cell r="S83" t="str">
            <v>15960.00</v>
          </cell>
          <cell r="T83" t="str">
            <v>13,773,161</v>
          </cell>
          <cell r="V83" t="str">
            <v>0.00</v>
          </cell>
          <cell r="W83">
            <v>0</v>
          </cell>
          <cell r="X83" t="str">
            <v>13252948-5</v>
          </cell>
          <cell r="Y83" t="str">
            <v>03-02-2026</v>
          </cell>
          <cell r="Z83" t="str">
            <v>SI</v>
          </cell>
          <cell r="AA83" t="str">
            <v>NO</v>
          </cell>
          <cell r="AB83" t="str">
            <v>01-09-2026</v>
          </cell>
          <cell r="AC83" t="str">
            <v>Sin Aprobar</v>
          </cell>
        </row>
        <row r="84">
          <cell r="A84">
            <v>369</v>
          </cell>
          <cell r="B84" t="str">
            <v>21-01-2026</v>
          </cell>
          <cell r="C84" t="str">
            <v>24-01-2026</v>
          </cell>
          <cell r="D84" t="str">
            <v>MONTEVIDEO EXPRESS</v>
          </cell>
          <cell r="E84" t="str">
            <v>MARITIMO</v>
          </cell>
          <cell r="F84" t="str">
            <v>KINGO</v>
          </cell>
          <cell r="G84" t="str">
            <v>KINGO SHANGHAI CO.,LTD.</v>
          </cell>
          <cell r="H84" t="str">
            <v>DAGEN</v>
          </cell>
          <cell r="I84" t="str">
            <v>DAGEN /</v>
          </cell>
          <cell r="J84" t="str">
            <v>ALMAHUE EXPORT</v>
          </cell>
          <cell r="K84" t="str">
            <v>CONS-LIBRE</v>
          </cell>
          <cell r="L84" t="str">
            <v>FOB</v>
          </cell>
          <cell r="M84" t="str">
            <v>2400</v>
          </cell>
          <cell r="N84" t="str">
            <v>608400.00</v>
          </cell>
          <cell r="O84" t="str">
            <v>48465.90</v>
          </cell>
          <cell r="P84" t="str">
            <v>0.00</v>
          </cell>
          <cell r="Q84" t="str">
            <v>437808.70</v>
          </cell>
          <cell r="R84">
            <v>1913</v>
          </cell>
          <cell r="S84" t="str">
            <v>16800.00</v>
          </cell>
          <cell r="T84" t="str">
            <v>14,653,296</v>
          </cell>
          <cell r="V84" t="str">
            <v>0.00</v>
          </cell>
          <cell r="W84">
            <v>0</v>
          </cell>
          <cell r="X84" t="str">
            <v>13243871-4</v>
          </cell>
          <cell r="Y84" t="str">
            <v>03-02-2026</v>
          </cell>
          <cell r="Z84" t="str">
            <v>SI</v>
          </cell>
          <cell r="AA84" t="str">
            <v>NO</v>
          </cell>
          <cell r="AB84" t="str">
            <v>01-09-2026</v>
          </cell>
          <cell r="AC84" t="str">
            <v>Sin Aprobar</v>
          </cell>
        </row>
        <row r="85">
          <cell r="A85">
            <v>368</v>
          </cell>
          <cell r="B85" t="str">
            <v>20-01-2026</v>
          </cell>
          <cell r="C85" t="str">
            <v>24-01-2026</v>
          </cell>
          <cell r="D85" t="str">
            <v>MSC VIVIENNE</v>
          </cell>
          <cell r="E85" t="str">
            <v>MARITIMO</v>
          </cell>
          <cell r="F85" t="str">
            <v>ACUMEN</v>
          </cell>
          <cell r="G85" t="str">
            <v>COPSAYS, S.A DE C.V</v>
          </cell>
          <cell r="H85" t="str">
            <v>DURAZNOSNECTARINES</v>
          </cell>
          <cell r="I85" t="str">
            <v>ZEE LADY / GIANT PEARL /</v>
          </cell>
          <cell r="J85" t="str">
            <v>ALMAHUE EXPORT</v>
          </cell>
          <cell r="K85" t="str">
            <v>CONS-LIBRE</v>
          </cell>
          <cell r="L85" t="str">
            <v>FOB</v>
          </cell>
          <cell r="M85" t="str">
            <v>2136</v>
          </cell>
          <cell r="N85" t="str">
            <v>29021.00</v>
          </cell>
          <cell r="O85" t="str">
            <v>4000.00</v>
          </cell>
          <cell r="P85" t="str">
            <v>0.00</v>
          </cell>
          <cell r="Q85" t="str">
            <v>13612.90</v>
          </cell>
          <cell r="R85">
            <v>1912</v>
          </cell>
          <cell r="S85" t="str">
            <v>12816.00</v>
          </cell>
          <cell r="T85" t="str">
            <v>11,178,372</v>
          </cell>
          <cell r="V85" t="str">
            <v>0.00</v>
          </cell>
          <cell r="W85">
            <v>0</v>
          </cell>
          <cell r="X85" t="str">
            <v>13242637-6</v>
          </cell>
          <cell r="Y85" t="str">
            <v>28-01-2026</v>
          </cell>
          <cell r="Z85" t="str">
            <v>SI</v>
          </cell>
          <cell r="AA85" t="str">
            <v>NO</v>
          </cell>
          <cell r="AB85" t="str">
            <v>26-08-2026</v>
          </cell>
          <cell r="AC85" t="str">
            <v>Sin Aprobar</v>
          </cell>
        </row>
        <row r="86">
          <cell r="A86">
            <v>367</v>
          </cell>
          <cell r="B86" t="str">
            <v>20-01-2026</v>
          </cell>
          <cell r="C86" t="str">
            <v>24-01-2026</v>
          </cell>
          <cell r="D86" t="str">
            <v>MSC VIVIENNE</v>
          </cell>
          <cell r="E86" t="str">
            <v>MARITIMO</v>
          </cell>
          <cell r="F86" t="str">
            <v>ACUMEN</v>
          </cell>
          <cell r="G86" t="str">
            <v>COPSAYS, S.A DE C.V</v>
          </cell>
          <cell r="H86" t="str">
            <v>NECTARINES</v>
          </cell>
          <cell r="I86" t="str">
            <v>GIANT PEARL /</v>
          </cell>
          <cell r="J86" t="str">
            <v>ALMAHUE EXPORT</v>
          </cell>
          <cell r="K86" t="str">
            <v>CONS-LIBRE</v>
          </cell>
          <cell r="L86" t="str">
            <v>FOB</v>
          </cell>
          <cell r="M86" t="str">
            <v>2400</v>
          </cell>
          <cell r="N86" t="str">
            <v>33780.00</v>
          </cell>
          <cell r="O86" t="str">
            <v>4000.00</v>
          </cell>
          <cell r="P86" t="str">
            <v>0.00</v>
          </cell>
          <cell r="Q86" t="str">
            <v>17640.00</v>
          </cell>
          <cell r="R86">
            <v>1911</v>
          </cell>
          <cell r="S86" t="str">
            <v>14400.00</v>
          </cell>
          <cell r="T86" t="str">
            <v>12,559,968</v>
          </cell>
          <cell r="V86" t="str">
            <v>0.00</v>
          </cell>
          <cell r="W86">
            <v>0</v>
          </cell>
          <cell r="X86" t="str">
            <v>13242519-1</v>
          </cell>
          <cell r="Y86" t="str">
            <v>28-01-2026</v>
          </cell>
          <cell r="Z86" t="str">
            <v>SI</v>
          </cell>
          <cell r="AA86" t="str">
            <v>NO</v>
          </cell>
          <cell r="AB86" t="str">
            <v>26-08-2026</v>
          </cell>
          <cell r="AC86" t="str">
            <v>Sin Aprobar</v>
          </cell>
        </row>
        <row r="87">
          <cell r="A87">
            <v>366</v>
          </cell>
          <cell r="B87" t="str">
            <v>20-01-2026</v>
          </cell>
          <cell r="C87" t="str">
            <v>24-01-2026</v>
          </cell>
          <cell r="D87" t="str">
            <v>MSC VIVIENNE</v>
          </cell>
          <cell r="E87" t="str">
            <v>MARITIMO</v>
          </cell>
          <cell r="F87" t="str">
            <v>ACUMEN</v>
          </cell>
          <cell r="G87" t="str">
            <v>COPSAYS, S.A DE C.V</v>
          </cell>
          <cell r="H87" t="str">
            <v>NECTARINES</v>
          </cell>
          <cell r="I87" t="str">
            <v>GIANT PEARL /</v>
          </cell>
          <cell r="J87" t="str">
            <v>ALMAHUE EXPORT</v>
          </cell>
          <cell r="K87" t="str">
            <v>CONS-LIBRE</v>
          </cell>
          <cell r="L87" t="str">
            <v>FOB</v>
          </cell>
          <cell r="M87" t="str">
            <v>2400</v>
          </cell>
          <cell r="N87" t="str">
            <v>34825.00</v>
          </cell>
          <cell r="O87" t="str">
            <v>4000.00</v>
          </cell>
          <cell r="P87" t="str">
            <v>0.00</v>
          </cell>
          <cell r="Q87" t="str">
            <v>18137.50</v>
          </cell>
          <cell r="R87">
            <v>1910</v>
          </cell>
          <cell r="S87" t="str">
            <v>14400.00</v>
          </cell>
          <cell r="T87" t="str">
            <v>12,559,968</v>
          </cell>
          <cell r="V87" t="str">
            <v>0.00</v>
          </cell>
          <cell r="W87">
            <v>0</v>
          </cell>
          <cell r="X87" t="str">
            <v>13242513-2</v>
          </cell>
          <cell r="Y87" t="str">
            <v>28-01-2026</v>
          </cell>
          <cell r="Z87" t="str">
            <v>SI</v>
          </cell>
          <cell r="AA87" t="str">
            <v>NO</v>
          </cell>
          <cell r="AB87" t="str">
            <v>26-08-2026</v>
          </cell>
          <cell r="AC87" t="str">
            <v>Sin Aprobar</v>
          </cell>
        </row>
        <row r="88">
          <cell r="A88">
            <v>365</v>
          </cell>
          <cell r="B88" t="str">
            <v>17-01-2026</v>
          </cell>
          <cell r="C88" t="str">
            <v>21-01-2026</v>
          </cell>
          <cell r="D88" t="str">
            <v>MAERSK BALI</v>
          </cell>
          <cell r="E88" t="str">
            <v>MARITIMO</v>
          </cell>
          <cell r="F88" t="str">
            <v>ACUMEN</v>
          </cell>
          <cell r="G88" t="str">
            <v>COPSAYS, S.A DE C.V</v>
          </cell>
          <cell r="H88" t="str">
            <v>DURAZNOS</v>
          </cell>
          <cell r="I88" t="str">
            <v>ZEE LADY /</v>
          </cell>
          <cell r="J88" t="str">
            <v>ALMAHUE EXPORT</v>
          </cell>
          <cell r="K88" t="str">
            <v>CONS-LIBRE</v>
          </cell>
          <cell r="L88" t="str">
            <v>FOB</v>
          </cell>
          <cell r="M88" t="str">
            <v>2400</v>
          </cell>
          <cell r="N88" t="str">
            <v>51326.76</v>
          </cell>
          <cell r="O88" t="str">
            <v>4000.00</v>
          </cell>
          <cell r="P88" t="str">
            <v>0.00</v>
          </cell>
          <cell r="Q88" t="str">
            <v>34760.08</v>
          </cell>
          <cell r="R88">
            <v>1909</v>
          </cell>
          <cell r="S88" t="str">
            <v>14400.00</v>
          </cell>
          <cell r="T88" t="str">
            <v>12,809,376</v>
          </cell>
          <cell r="V88" t="str">
            <v>0.00</v>
          </cell>
          <cell r="W88">
            <v>0</v>
          </cell>
          <cell r="X88" t="str">
            <v>13238385-5</v>
          </cell>
          <cell r="Y88" t="str">
            <v>04-02-2026</v>
          </cell>
          <cell r="Z88" t="str">
            <v>SI</v>
          </cell>
          <cell r="AA88" t="str">
            <v>NO</v>
          </cell>
          <cell r="AB88" t="str">
            <v>02-09-2026</v>
          </cell>
          <cell r="AC88" t="str">
            <v>Sin Aprobar</v>
          </cell>
        </row>
        <row r="89">
          <cell r="A89">
            <v>364</v>
          </cell>
          <cell r="B89" t="str">
            <v>17-01-2026</v>
          </cell>
          <cell r="C89" t="str">
            <v>20-01-2026</v>
          </cell>
          <cell r="D89" t="str">
            <v>EVER LAMBENT</v>
          </cell>
          <cell r="E89" t="str">
            <v>MARITIMO</v>
          </cell>
          <cell r="F89" t="str">
            <v>HUASHENG</v>
          </cell>
          <cell r="G89" t="str">
            <v>CHUN WAN YI (GUANGZHOU) SUPPLY CHAIN MANAGEMENT CO., LTD</v>
          </cell>
          <cell r="H89" t="str">
            <v>NECTARINES</v>
          </cell>
          <cell r="I89" t="str">
            <v>ANDESNEC CINCO / BRIGHT PEARL / GIANT PEARL /</v>
          </cell>
          <cell r="J89" t="str">
            <v>ALMAHUE EXPORT</v>
          </cell>
          <cell r="K89" t="str">
            <v>CONS-LIBRE</v>
          </cell>
          <cell r="L89" t="str">
            <v>FOB</v>
          </cell>
          <cell r="M89" t="str">
            <v>2400</v>
          </cell>
          <cell r="N89" t="str">
            <v>40445.96</v>
          </cell>
          <cell r="O89" t="str">
            <v>6789.00</v>
          </cell>
          <cell r="P89" t="str">
            <v>0.00</v>
          </cell>
          <cell r="Q89" t="str">
            <v>23033.75</v>
          </cell>
          <cell r="R89">
            <v>1905</v>
          </cell>
          <cell r="S89" t="str">
            <v>14400.00</v>
          </cell>
          <cell r="T89" t="str">
            <v>12,796,704</v>
          </cell>
          <cell r="V89" t="str">
            <v>0.00</v>
          </cell>
          <cell r="W89">
            <v>0</v>
          </cell>
          <cell r="X89" t="str">
            <v>13238103-8</v>
          </cell>
          <cell r="Y89" t="str">
            <v>27-01-2026</v>
          </cell>
          <cell r="Z89" t="str">
            <v>SI</v>
          </cell>
          <cell r="AA89" t="str">
            <v>NO</v>
          </cell>
          <cell r="AB89" t="str">
            <v>25-08-2026</v>
          </cell>
          <cell r="AC89" t="str">
            <v>Sin Aprobar</v>
          </cell>
        </row>
        <row r="90">
          <cell r="A90">
            <v>363</v>
          </cell>
          <cell r="B90" t="str">
            <v>17-01-2026</v>
          </cell>
          <cell r="C90" t="str">
            <v>20-01-2026</v>
          </cell>
          <cell r="D90" t="str">
            <v>EVER LAMBENT</v>
          </cell>
          <cell r="E90" t="str">
            <v>MARITIMO</v>
          </cell>
          <cell r="F90" t="str">
            <v>AARTSEN</v>
          </cell>
          <cell r="G90" t="str">
            <v>BINGO FRUITS GLOBAL CORPORATION LTD</v>
          </cell>
          <cell r="H90" t="str">
            <v>NECTARINES</v>
          </cell>
          <cell r="I90" t="str">
            <v>GIANT PEARL /</v>
          </cell>
          <cell r="J90" t="str">
            <v>ALMAHUE EXPORT</v>
          </cell>
          <cell r="K90" t="str">
            <v>CONS-LIBRE</v>
          </cell>
          <cell r="L90" t="str">
            <v>FOB</v>
          </cell>
          <cell r="M90" t="str">
            <v>2400</v>
          </cell>
          <cell r="N90" t="str">
            <v>30329.40</v>
          </cell>
          <cell r="O90" t="str">
            <v>6921.74</v>
          </cell>
          <cell r="P90" t="str">
            <v>0.00</v>
          </cell>
          <cell r="Q90" t="str">
            <v>10081.45</v>
          </cell>
          <cell r="R90">
            <v>1908</v>
          </cell>
          <cell r="S90" t="str">
            <v>14400.00</v>
          </cell>
          <cell r="T90" t="str">
            <v>12,796,704</v>
          </cell>
          <cell r="V90" t="str">
            <v>0.00</v>
          </cell>
          <cell r="W90">
            <v>0</v>
          </cell>
          <cell r="X90" t="str">
            <v>13238119-4</v>
          </cell>
          <cell r="Y90" t="str">
            <v>27-01-2026</v>
          </cell>
          <cell r="Z90" t="str">
            <v>SI</v>
          </cell>
          <cell r="AA90" t="str">
            <v>NO</v>
          </cell>
          <cell r="AB90" t="str">
            <v>25-08-2026</v>
          </cell>
          <cell r="AC90" t="str">
            <v>Sin Aprobar</v>
          </cell>
        </row>
        <row r="91">
          <cell r="A91">
            <v>362</v>
          </cell>
          <cell r="B91" t="str">
            <v>17-01-2026</v>
          </cell>
          <cell r="C91" t="str">
            <v>20-01-2026</v>
          </cell>
          <cell r="D91" t="str">
            <v>EVER LAMBENT</v>
          </cell>
          <cell r="E91" t="str">
            <v>MARITIMO</v>
          </cell>
          <cell r="F91" t="str">
            <v>HUASHENG</v>
          </cell>
          <cell r="G91" t="str">
            <v>CHUN WAN YI (GUANGZHOU) SUPPLY CHAIN MANAGEMENT CO., LTD</v>
          </cell>
          <cell r="H91" t="str">
            <v>NECTARINES</v>
          </cell>
          <cell r="I91" t="str">
            <v>GIANT PEARL /</v>
          </cell>
          <cell r="J91" t="str">
            <v>ALMAHUE EXPORT</v>
          </cell>
          <cell r="K91" t="str">
            <v>CONS-LIBRE</v>
          </cell>
          <cell r="L91" t="str">
            <v>FOB</v>
          </cell>
          <cell r="M91" t="str">
            <v>2400</v>
          </cell>
          <cell r="N91" t="str">
            <v>42668.76</v>
          </cell>
          <cell r="O91" t="str">
            <v>6789.00</v>
          </cell>
          <cell r="P91" t="str">
            <v>0.00</v>
          </cell>
          <cell r="Q91" t="str">
            <v>25397.38</v>
          </cell>
          <cell r="R91">
            <v>1904</v>
          </cell>
          <cell r="S91" t="str">
            <v>14400.00</v>
          </cell>
          <cell r="T91" t="str">
            <v>12,796,704</v>
          </cell>
          <cell r="V91" t="str">
            <v>0.00</v>
          </cell>
          <cell r="W91">
            <v>0</v>
          </cell>
          <cell r="X91" t="str">
            <v>13238096-1</v>
          </cell>
          <cell r="Y91" t="str">
            <v>30-01-2026</v>
          </cell>
          <cell r="Z91" t="str">
            <v>SI</v>
          </cell>
          <cell r="AA91" t="str">
            <v>NO</v>
          </cell>
          <cell r="AB91" t="str">
            <v>28-08-2026</v>
          </cell>
          <cell r="AC91" t="str">
            <v>Sin Aprobar</v>
          </cell>
        </row>
        <row r="92">
          <cell r="A92">
            <v>361</v>
          </cell>
          <cell r="B92" t="str">
            <v>17-01-2026</v>
          </cell>
          <cell r="C92" t="str">
            <v>20-01-2026</v>
          </cell>
          <cell r="D92" t="str">
            <v>EVER LAMBENT</v>
          </cell>
          <cell r="E92" t="str">
            <v>MARITIMO</v>
          </cell>
          <cell r="F92" t="str">
            <v>HING LEE</v>
          </cell>
          <cell r="G92" t="str">
            <v>SHENZHEN JINSHUN'AN INTERNATIONAL FREIGHT FORWARDING CO.,LTD</v>
          </cell>
          <cell r="H92" t="str">
            <v>NECTARINES</v>
          </cell>
          <cell r="I92" t="str">
            <v>ANDESNEC CINCO / BRIGHT PEARL / GIANT PEARL /</v>
          </cell>
          <cell r="J92" t="str">
            <v>ALMAHUE EXPORT</v>
          </cell>
          <cell r="K92" t="str">
            <v>CONS-LIBRE</v>
          </cell>
          <cell r="L92" t="str">
            <v>FOB</v>
          </cell>
          <cell r="M92" t="str">
            <v>2400</v>
          </cell>
          <cell r="N92" t="str">
            <v>42211.46</v>
          </cell>
          <cell r="O92" t="str">
            <v>6815.00</v>
          </cell>
          <cell r="P92" t="str">
            <v>0.00</v>
          </cell>
          <cell r="Q92" t="str">
            <v>26451.77</v>
          </cell>
          <cell r="R92">
            <v>1907</v>
          </cell>
          <cell r="S92" t="str">
            <v>14400.00</v>
          </cell>
          <cell r="T92" t="str">
            <v>12,796,704</v>
          </cell>
          <cell r="V92" t="str">
            <v>0.00</v>
          </cell>
          <cell r="W92">
            <v>0</v>
          </cell>
          <cell r="X92" t="str">
            <v>13238087-2</v>
          </cell>
          <cell r="Y92" t="str">
            <v>27-01-2026</v>
          </cell>
          <cell r="Z92" t="str">
            <v>SI</v>
          </cell>
          <cell r="AA92" t="str">
            <v>NO</v>
          </cell>
          <cell r="AB92" t="str">
            <v>25-08-2026</v>
          </cell>
          <cell r="AC92" t="str">
            <v>Sin Aprobar</v>
          </cell>
        </row>
        <row r="93">
          <cell r="A93">
            <v>360</v>
          </cell>
          <cell r="B93" t="str">
            <v>17-01-2026</v>
          </cell>
          <cell r="C93" t="str">
            <v>20-01-2026</v>
          </cell>
          <cell r="D93" t="str">
            <v>EVER LAMBENT</v>
          </cell>
          <cell r="E93" t="str">
            <v>MARITIMO</v>
          </cell>
          <cell r="F93" t="str">
            <v>FRESH LINK GUANGZHOU</v>
          </cell>
          <cell r="G93" t="str">
            <v>SHENZHEN FANYA XIANSHIHUI CO.,LTD</v>
          </cell>
          <cell r="H93" t="str">
            <v>NECTARINES</v>
          </cell>
          <cell r="I93" t="str">
            <v>GIANT PEARL /</v>
          </cell>
          <cell r="J93" t="str">
            <v>ALMAHUE EXPORT</v>
          </cell>
          <cell r="K93" t="str">
            <v>CONS-LIBRE</v>
          </cell>
          <cell r="L93" t="str">
            <v>FOB</v>
          </cell>
          <cell r="M93" t="str">
            <v>2400</v>
          </cell>
          <cell r="N93" t="str">
            <v>263540.28</v>
          </cell>
          <cell r="O93" t="str">
            <v>47600.00</v>
          </cell>
          <cell r="P93" t="str">
            <v>0.00</v>
          </cell>
          <cell r="Q93" t="str">
            <v>142233.06</v>
          </cell>
          <cell r="R93">
            <v>1906</v>
          </cell>
          <cell r="S93" t="str">
            <v>14400.00</v>
          </cell>
          <cell r="T93" t="str">
            <v>12,796,704</v>
          </cell>
          <cell r="V93" t="str">
            <v>0.00</v>
          </cell>
          <cell r="W93">
            <v>0</v>
          </cell>
          <cell r="X93" t="str">
            <v>13238040-6</v>
          </cell>
          <cell r="Y93" t="str">
            <v>27-01-2026</v>
          </cell>
          <cell r="Z93" t="str">
            <v>SI</v>
          </cell>
          <cell r="AA93" t="str">
            <v>NO</v>
          </cell>
          <cell r="AB93" t="str">
            <v>25-08-2026</v>
          </cell>
          <cell r="AC93" t="str">
            <v>Sin Aprobar</v>
          </cell>
        </row>
        <row r="94">
          <cell r="A94">
            <v>359</v>
          </cell>
          <cell r="B94" t="str">
            <v>12-01-2026</v>
          </cell>
          <cell r="C94" t="str">
            <v>18-01-2026</v>
          </cell>
          <cell r="D94" t="str">
            <v>ONE SPIRIT</v>
          </cell>
          <cell r="E94" t="str">
            <v>MARITIMO</v>
          </cell>
          <cell r="F94" t="str">
            <v>ACUMEN</v>
          </cell>
          <cell r="G94" t="str">
            <v>COPSAYS, S.A DE C.V</v>
          </cell>
          <cell r="H94" t="str">
            <v>NECTARINES</v>
          </cell>
          <cell r="I94" t="str">
            <v>BRIGHT PEARL /</v>
          </cell>
          <cell r="J94" t="str">
            <v>ALMAHUE EXPORT</v>
          </cell>
          <cell r="K94" t="str">
            <v>CONS-LIBRE</v>
          </cell>
          <cell r="L94" t="str">
            <v>FOB</v>
          </cell>
          <cell r="M94" t="str">
            <v>2400</v>
          </cell>
          <cell r="N94" t="str">
            <v>16950.00</v>
          </cell>
          <cell r="O94" t="str">
            <v>4000.00</v>
          </cell>
          <cell r="P94" t="str">
            <v>0.00</v>
          </cell>
          <cell r="Q94" t="str">
            <v>2400.00</v>
          </cell>
          <cell r="R94">
            <v>1903</v>
          </cell>
          <cell r="S94" t="str">
            <v>14400.00</v>
          </cell>
          <cell r="T94" t="str">
            <v>12,737,808</v>
          </cell>
          <cell r="V94" t="str">
            <v>0.00</v>
          </cell>
          <cell r="W94">
            <v>0</v>
          </cell>
          <cell r="X94" t="str">
            <v>13227229-8</v>
          </cell>
          <cell r="Y94" t="str">
            <v>22-01-2026</v>
          </cell>
          <cell r="Z94" t="str">
            <v>SI</v>
          </cell>
          <cell r="AA94" t="str">
            <v>NO</v>
          </cell>
          <cell r="AB94" t="str">
            <v>20-08-2026</v>
          </cell>
          <cell r="AC94" t="str">
            <v>Sin Aprobar</v>
          </cell>
        </row>
        <row r="95">
          <cell r="A95">
            <v>358</v>
          </cell>
          <cell r="B95" t="str">
            <v>10-01-2026</v>
          </cell>
          <cell r="C95" t="str">
            <v>13-01-2026</v>
          </cell>
          <cell r="D95" t="str">
            <v>EVER LUCENT</v>
          </cell>
          <cell r="E95" t="str">
            <v>MARITIMO</v>
          </cell>
          <cell r="F95" t="str">
            <v>FRESH LINK GUANGZHOU</v>
          </cell>
          <cell r="G95" t="str">
            <v>SHENZHEN FANYA XIANSHIHUI CO.,LTD</v>
          </cell>
          <cell r="H95" t="str">
            <v>NECTARINES</v>
          </cell>
          <cell r="I95" t="str">
            <v>ANDESNEC CINCO / BRIGHT PEARL /</v>
          </cell>
          <cell r="J95" t="str">
            <v>ALMAHUE EXPORT</v>
          </cell>
          <cell r="K95" t="str">
            <v>CONS-LIBRE</v>
          </cell>
          <cell r="L95" t="str">
            <v>FOB</v>
          </cell>
          <cell r="M95" t="str">
            <v>2400</v>
          </cell>
          <cell r="N95" t="str">
            <v>239650.15</v>
          </cell>
          <cell r="O95" t="str">
            <v>48552.00</v>
          </cell>
          <cell r="P95" t="str">
            <v>0.00</v>
          </cell>
          <cell r="Q95" t="str">
            <v>121071.14</v>
          </cell>
          <cell r="R95">
            <v>1900</v>
          </cell>
          <cell r="S95" t="str">
            <v>14400.00</v>
          </cell>
          <cell r="T95" t="str">
            <v>12,754,224</v>
          </cell>
          <cell r="V95" t="str">
            <v>0.00</v>
          </cell>
          <cell r="W95">
            <v>0</v>
          </cell>
          <cell r="X95" t="str">
            <v>13226155-5</v>
          </cell>
          <cell r="Y95" t="str">
            <v>21-01-2026</v>
          </cell>
          <cell r="Z95" t="str">
            <v>SI</v>
          </cell>
          <cell r="AA95" t="str">
            <v>NO</v>
          </cell>
          <cell r="AB95" t="str">
            <v>19-08-2026</v>
          </cell>
          <cell r="AC95" t="str">
            <v>Sin Aprobar</v>
          </cell>
        </row>
        <row r="96">
          <cell r="A96">
            <v>357</v>
          </cell>
          <cell r="B96" t="str">
            <v>10-01-2026</v>
          </cell>
          <cell r="C96" t="str">
            <v>13-01-2026</v>
          </cell>
          <cell r="D96" t="str">
            <v>EVER LUCENT</v>
          </cell>
          <cell r="E96" t="str">
            <v>MARITIMO</v>
          </cell>
          <cell r="F96" t="str">
            <v>HING LEE</v>
          </cell>
          <cell r="G96" t="str">
            <v>SHENZHEN JINSHUN'AN INTERNATIONAL FREIGHT FORWARDING CO.,LTD</v>
          </cell>
          <cell r="H96" t="str">
            <v>NECTARINES</v>
          </cell>
          <cell r="I96" t="str">
            <v>ANDESNEC CINCO / BRIGHT PEARL /</v>
          </cell>
          <cell r="J96" t="str">
            <v>ALMAHUE EXPORT</v>
          </cell>
          <cell r="K96" t="str">
            <v>CONS-LIBRE</v>
          </cell>
          <cell r="L96" t="str">
            <v>FOB</v>
          </cell>
          <cell r="M96" t="str">
            <v>2400</v>
          </cell>
          <cell r="N96" t="str">
            <v>26990.77</v>
          </cell>
          <cell r="O96" t="str">
            <v>6804.00</v>
          </cell>
          <cell r="P96" t="str">
            <v>0.00</v>
          </cell>
          <cell r="Q96" t="str">
            <v>12102.33</v>
          </cell>
          <cell r="R96">
            <v>1899</v>
          </cell>
          <cell r="S96" t="str">
            <v>14400.00</v>
          </cell>
          <cell r="T96" t="str">
            <v>12,754,224</v>
          </cell>
          <cell r="V96" t="str">
            <v>0.00</v>
          </cell>
          <cell r="W96">
            <v>0</v>
          </cell>
          <cell r="X96" t="str">
            <v>13226153-9</v>
          </cell>
          <cell r="Y96" t="str">
            <v>21-01-2026</v>
          </cell>
          <cell r="Z96" t="str">
            <v>SI</v>
          </cell>
          <cell r="AA96" t="str">
            <v>NO</v>
          </cell>
          <cell r="AB96" t="str">
            <v>19-08-2026</v>
          </cell>
          <cell r="AC96" t="str">
            <v>Sin Aprobar</v>
          </cell>
        </row>
        <row r="97">
          <cell r="A97">
            <v>356</v>
          </cell>
          <cell r="B97" t="str">
            <v>12-01-2026</v>
          </cell>
          <cell r="C97" t="str">
            <v>18-01-2026</v>
          </cell>
          <cell r="D97" t="str">
            <v>ONE SPIRIT</v>
          </cell>
          <cell r="E97" t="str">
            <v>MARITIMO</v>
          </cell>
          <cell r="F97" t="str">
            <v>ACUMEN</v>
          </cell>
          <cell r="G97" t="str">
            <v>COPSAYS, S.A DE C.V</v>
          </cell>
          <cell r="H97" t="str">
            <v>NECTARINES</v>
          </cell>
          <cell r="I97" t="str">
            <v>BRIGHT PEARL /</v>
          </cell>
          <cell r="J97" t="str">
            <v>ALMAHUE EXPORT</v>
          </cell>
          <cell r="K97" t="str">
            <v>CONS-LIBRE</v>
          </cell>
          <cell r="L97" t="str">
            <v>FOB</v>
          </cell>
          <cell r="M97" t="str">
            <v>2400</v>
          </cell>
          <cell r="N97" t="str">
            <v>40494.30</v>
          </cell>
          <cell r="O97" t="str">
            <v>4000.00</v>
          </cell>
          <cell r="P97" t="str">
            <v>0.00</v>
          </cell>
          <cell r="Q97" t="str">
            <v>23303.69</v>
          </cell>
          <cell r="R97">
            <v>1902</v>
          </cell>
          <cell r="S97" t="str">
            <v>14400.00</v>
          </cell>
          <cell r="T97" t="str">
            <v>12,737,808</v>
          </cell>
          <cell r="V97" t="str">
            <v>0.00</v>
          </cell>
          <cell r="W97">
            <v>0</v>
          </cell>
          <cell r="X97" t="str">
            <v>13227194-1</v>
          </cell>
          <cell r="Y97" t="str">
            <v>22-12-2025</v>
          </cell>
          <cell r="Z97" t="str">
            <v>SI</v>
          </cell>
          <cell r="AA97" t="str">
            <v>NO</v>
          </cell>
          <cell r="AB97" t="str">
            <v>20-07-2026</v>
          </cell>
          <cell r="AC97" t="str">
            <v>Sin Aprobar</v>
          </cell>
        </row>
        <row r="98">
          <cell r="A98">
            <v>355</v>
          </cell>
          <cell r="B98" t="str">
            <v>10-01-2026</v>
          </cell>
          <cell r="C98" t="str">
            <v>13-01-2026</v>
          </cell>
          <cell r="D98" t="str">
            <v>EVER LUCENT</v>
          </cell>
          <cell r="E98" t="str">
            <v>MARITIMO</v>
          </cell>
          <cell r="F98" t="str">
            <v>HING LEE</v>
          </cell>
          <cell r="G98" t="str">
            <v>SHENZHEN JINSHUN'AN INTERNATIONAL FREIGHT FORWARDING CO.,LTD</v>
          </cell>
          <cell r="H98" t="str">
            <v>NECTARINES</v>
          </cell>
          <cell r="I98" t="str">
            <v>ANDESNEC CINCO / BRIGHT PEARL /</v>
          </cell>
          <cell r="J98" t="str">
            <v>ALMAHUE EXPORT</v>
          </cell>
          <cell r="K98" t="str">
            <v>CONS-LIBRE</v>
          </cell>
          <cell r="L98" t="str">
            <v>FOB</v>
          </cell>
          <cell r="M98" t="str">
            <v>2400</v>
          </cell>
          <cell r="N98" t="str">
            <v>29896.80</v>
          </cell>
          <cell r="O98" t="str">
            <v>5611.00</v>
          </cell>
          <cell r="P98" t="str">
            <v>0.00</v>
          </cell>
          <cell r="Q98" t="str">
            <v>16369.49</v>
          </cell>
          <cell r="R98">
            <v>1898</v>
          </cell>
          <cell r="S98" t="str">
            <v>14400.00</v>
          </cell>
          <cell r="T98" t="str">
            <v>12,754,224</v>
          </cell>
          <cell r="V98" t="str">
            <v>0.00</v>
          </cell>
          <cell r="W98">
            <v>0</v>
          </cell>
          <cell r="X98" t="str">
            <v>13226140-7</v>
          </cell>
          <cell r="Y98" t="str">
            <v>10-01-2026</v>
          </cell>
          <cell r="Z98" t="str">
            <v>SI</v>
          </cell>
          <cell r="AA98" t="str">
            <v>NO</v>
          </cell>
          <cell r="AB98" t="str">
            <v>08-08-2026</v>
          </cell>
          <cell r="AC98" t="str">
            <v>Sin Aprobar</v>
          </cell>
        </row>
        <row r="99">
          <cell r="A99">
            <v>354</v>
          </cell>
          <cell r="B99" t="str">
            <v>08-01-2026</v>
          </cell>
          <cell r="C99" t="str">
            <v>13-01-2026</v>
          </cell>
          <cell r="D99" t="str">
            <v>EVER LUCENT</v>
          </cell>
          <cell r="E99" t="str">
            <v>MARITIMO</v>
          </cell>
          <cell r="F99" t="str">
            <v>AARTSEN</v>
          </cell>
          <cell r="G99" t="str">
            <v>BINGO FRUITS GLOBAL CORPORATION LTD</v>
          </cell>
          <cell r="H99" t="str">
            <v>NECTARINES</v>
          </cell>
          <cell r="I99" t="str">
            <v>ANDESNEC CINCO / BRIGHT PEARL /</v>
          </cell>
          <cell r="J99" t="str">
            <v>ALMAHUE EXPORT</v>
          </cell>
          <cell r="K99" t="str">
            <v>CONS-LIBRE</v>
          </cell>
          <cell r="L99" t="str">
            <v>FOB</v>
          </cell>
          <cell r="M99" t="str">
            <v>2400</v>
          </cell>
          <cell r="N99" t="str">
            <v>18148.27</v>
          </cell>
          <cell r="O99" t="str">
            <v>5598.48</v>
          </cell>
          <cell r="P99" t="str">
            <v>0.00</v>
          </cell>
          <cell r="Q99" t="str">
            <v>493.36</v>
          </cell>
          <cell r="R99">
            <v>1897</v>
          </cell>
          <cell r="S99" t="str">
            <v>14400.00</v>
          </cell>
          <cell r="T99" t="str">
            <v>12,754,224</v>
          </cell>
          <cell r="V99" t="str">
            <v>0.00</v>
          </cell>
          <cell r="W99">
            <v>0</v>
          </cell>
          <cell r="X99" t="str">
            <v>13218844-0</v>
          </cell>
          <cell r="Y99" t="str">
            <v>21-01-2026</v>
          </cell>
          <cell r="Z99" t="str">
            <v>SI</v>
          </cell>
          <cell r="AA99" t="str">
            <v>NO</v>
          </cell>
          <cell r="AB99" t="str">
            <v>19-08-2026</v>
          </cell>
          <cell r="AC99" t="str">
            <v>Sin Aprobar</v>
          </cell>
        </row>
        <row r="100">
          <cell r="A100">
            <v>353</v>
          </cell>
          <cell r="B100" t="str">
            <v>09-01-2026</v>
          </cell>
          <cell r="C100" t="str">
            <v>13-01-2026</v>
          </cell>
          <cell r="D100" t="str">
            <v>EVER LUCENT</v>
          </cell>
          <cell r="E100" t="str">
            <v>MARITIMO</v>
          </cell>
          <cell r="F100" t="str">
            <v>HUASHENG</v>
          </cell>
          <cell r="G100" t="str">
            <v>CHUN WAN YI (GUANGZHOU) SUPPLY CHAIN MANAGEMENT CO., LTD</v>
          </cell>
          <cell r="H100" t="str">
            <v>NECTARINES</v>
          </cell>
          <cell r="I100" t="str">
            <v>ANDESNEC CINCO / BRIGHT PEARL / ISI WHITE / SUPER QUEEN /</v>
          </cell>
          <cell r="J100" t="str">
            <v>ALMAHUE EXPORT</v>
          </cell>
          <cell r="K100" t="str">
            <v>CONS-LIBRE</v>
          </cell>
          <cell r="L100" t="str">
            <v>FOB</v>
          </cell>
          <cell r="M100" t="str">
            <v>2400</v>
          </cell>
          <cell r="N100" t="str">
            <v>32107.78</v>
          </cell>
          <cell r="O100" t="str">
            <v>5491.14</v>
          </cell>
          <cell r="P100" t="str">
            <v>0.00</v>
          </cell>
          <cell r="Q100" t="str">
            <v>16963.66</v>
          </cell>
          <cell r="R100">
            <v>1901</v>
          </cell>
          <cell r="S100" t="str">
            <v>14400.00</v>
          </cell>
          <cell r="T100" t="str">
            <v>12,754,224</v>
          </cell>
          <cell r="V100" t="str">
            <v>0.00</v>
          </cell>
          <cell r="W100">
            <v>0</v>
          </cell>
          <cell r="X100" t="str">
            <v>13218881-5</v>
          </cell>
          <cell r="Y100" t="str">
            <v>21-01-2026</v>
          </cell>
          <cell r="Z100" t="str">
            <v>SI</v>
          </cell>
          <cell r="AA100" t="str">
            <v>NO</v>
          </cell>
          <cell r="AB100" t="str">
            <v>19-08-2026</v>
          </cell>
          <cell r="AC100" t="str">
            <v>Sin Aprobar</v>
          </cell>
        </row>
        <row r="101">
          <cell r="A101">
            <v>352</v>
          </cell>
          <cell r="B101" t="str">
            <v>08-01-2026</v>
          </cell>
          <cell r="C101" t="str">
            <v>13-01-2026</v>
          </cell>
          <cell r="D101" t="str">
            <v>EVER LUCENT</v>
          </cell>
          <cell r="E101" t="str">
            <v>MARITIMO</v>
          </cell>
          <cell r="F101" t="str">
            <v>FRESH LINK GUANGZHOU</v>
          </cell>
          <cell r="G101" t="str">
            <v>SHENZHEN FANYA XIANSHIHUI CO.,LTD</v>
          </cell>
          <cell r="H101" t="str">
            <v>NECTARINES</v>
          </cell>
          <cell r="I101" t="str">
            <v>BRIGHT PEARL /</v>
          </cell>
          <cell r="J101" t="str">
            <v>ALMAHUE EXPORT</v>
          </cell>
          <cell r="K101" t="str">
            <v>CONS-LIBRE</v>
          </cell>
          <cell r="L101" t="str">
            <v>FOB</v>
          </cell>
          <cell r="M101" t="str">
            <v>2400</v>
          </cell>
          <cell r="N101" t="str">
            <v>210180.24</v>
          </cell>
          <cell r="O101" t="str">
            <v>39270.00</v>
          </cell>
          <cell r="P101" t="str">
            <v>0.00</v>
          </cell>
          <cell r="Q101" t="str">
            <v>104350.82</v>
          </cell>
          <cell r="R101">
            <v>1896</v>
          </cell>
          <cell r="S101" t="str">
            <v>14400.00</v>
          </cell>
          <cell r="T101" t="str">
            <v>12,754,224</v>
          </cell>
          <cell r="V101" t="str">
            <v>0.00</v>
          </cell>
          <cell r="W101">
            <v>0</v>
          </cell>
          <cell r="X101" t="str">
            <v>13218834-3</v>
          </cell>
          <cell r="Y101" t="str">
            <v>21-01-2026</v>
          </cell>
          <cell r="Z101" t="str">
            <v>SI</v>
          </cell>
          <cell r="AA101" t="str">
            <v>NO</v>
          </cell>
          <cell r="AB101" t="str">
            <v>19-08-2026</v>
          </cell>
          <cell r="AC101" t="str">
            <v>Sin Aprobar</v>
          </cell>
        </row>
        <row r="102">
          <cell r="A102">
            <v>351</v>
          </cell>
          <cell r="B102" t="str">
            <v>06-01-2026</v>
          </cell>
          <cell r="C102" t="str">
            <v>10-01-2026</v>
          </cell>
          <cell r="D102" t="str">
            <v>ONE SINCERITY</v>
          </cell>
          <cell r="E102" t="str">
            <v>MARITIMO</v>
          </cell>
          <cell r="F102" t="str">
            <v>HING LEE</v>
          </cell>
          <cell r="G102" t="str">
            <v>SHENZHEN JINSHUN'AN INTERNATIONAL FREIGHT FORWARDING CO.,LTD</v>
          </cell>
          <cell r="H102" t="str">
            <v>NECTARINES</v>
          </cell>
          <cell r="I102" t="str">
            <v>BRIGHT PEARL / ISI WHITE / SUPER QUEEN /</v>
          </cell>
          <cell r="J102" t="str">
            <v>ALMAHUE EXPORT</v>
          </cell>
          <cell r="K102" t="str">
            <v>CONS-LIBRE</v>
          </cell>
          <cell r="L102" t="str">
            <v>FOB</v>
          </cell>
          <cell r="M102" t="str">
            <v>2400</v>
          </cell>
          <cell r="N102" t="str">
            <v>40441.01</v>
          </cell>
          <cell r="O102" t="str">
            <v>9816.00</v>
          </cell>
          <cell r="P102" t="str">
            <v>0.00</v>
          </cell>
          <cell r="Q102" t="str">
            <v>20409.55</v>
          </cell>
          <cell r="R102">
            <v>1894</v>
          </cell>
          <cell r="S102" t="str">
            <v>14400.00</v>
          </cell>
          <cell r="T102" t="str">
            <v>12,915,216</v>
          </cell>
          <cell r="V102" t="str">
            <v>0.00</v>
          </cell>
          <cell r="W102">
            <v>0</v>
          </cell>
          <cell r="X102" t="str">
            <v>13214414-1</v>
          </cell>
          <cell r="Y102" t="str">
            <v>20-01-2026</v>
          </cell>
          <cell r="Z102" t="str">
            <v>SI</v>
          </cell>
          <cell r="AA102" t="str">
            <v>NO</v>
          </cell>
          <cell r="AB102" t="str">
            <v>18-08-2026</v>
          </cell>
          <cell r="AC102" t="str">
            <v>Sin Aprobar</v>
          </cell>
        </row>
        <row r="103">
          <cell r="A103">
            <v>350</v>
          </cell>
          <cell r="B103" t="str">
            <v>06-01-2026</v>
          </cell>
          <cell r="C103" t="str">
            <v>08-01-2026</v>
          </cell>
          <cell r="D103" t="str">
            <v>SAN FELIPE</v>
          </cell>
          <cell r="E103" t="str">
            <v>MARITIMO</v>
          </cell>
          <cell r="F103" t="str">
            <v>HUASHENG</v>
          </cell>
          <cell r="G103" t="str">
            <v>CHUN WAN YI (GUANGZHOU) SUPPLY CHAIN MANAGEMENT CO., LTD</v>
          </cell>
          <cell r="H103" t="str">
            <v>CEREZAS</v>
          </cell>
          <cell r="I103" t="str">
            <v>REGINA /</v>
          </cell>
          <cell r="J103" t="str">
            <v>ALMAHUE EXPORT</v>
          </cell>
          <cell r="K103" t="str">
            <v>CONS-LIBRE</v>
          </cell>
          <cell r="L103" t="str">
            <v>FOB</v>
          </cell>
          <cell r="M103" t="str">
            <v>3181</v>
          </cell>
          <cell r="N103" t="str">
            <v>121514.80</v>
          </cell>
          <cell r="O103" t="str">
            <v>10277.28</v>
          </cell>
          <cell r="P103" t="str">
            <v>0.00</v>
          </cell>
          <cell r="Q103" t="str">
            <v>90304.85</v>
          </cell>
          <cell r="R103">
            <v>1893</v>
          </cell>
          <cell r="S103" t="str">
            <v>31810.00</v>
          </cell>
          <cell r="T103" t="str">
            <v>28,480,447</v>
          </cell>
          <cell r="V103" t="str">
            <v>0.00</v>
          </cell>
          <cell r="W103">
            <v>0</v>
          </cell>
          <cell r="X103" t="str">
            <v>13214782-5</v>
          </cell>
          <cell r="Y103" t="str">
            <v>26-01-2026</v>
          </cell>
          <cell r="Z103" t="str">
            <v>SI</v>
          </cell>
          <cell r="AA103" t="str">
            <v>NO</v>
          </cell>
          <cell r="AB103" t="str">
            <v>24-08-2026</v>
          </cell>
          <cell r="AC103" t="str">
            <v>Sin Aprobar</v>
          </cell>
        </row>
        <row r="104">
          <cell r="A104">
            <v>349</v>
          </cell>
          <cell r="B104" t="str">
            <v>06-01-2026</v>
          </cell>
          <cell r="C104" t="str">
            <v>08-01-2026</v>
          </cell>
          <cell r="D104" t="str">
            <v>SAN FELIPE</v>
          </cell>
          <cell r="E104" t="str">
            <v>MARITIMO</v>
          </cell>
          <cell r="F104" t="str">
            <v>YOGO</v>
          </cell>
          <cell r="G104" t="str">
            <v>WUHAN ECONOMY DEVELOPMENT INVESTMENT OF GRAIN LOGISTICS INDUSTRY CO,LTD.</v>
          </cell>
          <cell r="H104" t="str">
            <v>CEREZAS</v>
          </cell>
          <cell r="I104" t="str">
            <v>REGINA /</v>
          </cell>
          <cell r="J104" t="str">
            <v>ALMAHUE EXPORT</v>
          </cell>
          <cell r="K104" t="str">
            <v>CONS-LIBRE</v>
          </cell>
          <cell r="L104" t="str">
            <v>FOB</v>
          </cell>
          <cell r="M104" t="str">
            <v>3051</v>
          </cell>
          <cell r="N104" t="str">
            <v>62973.81</v>
          </cell>
          <cell r="O104" t="str">
            <v>10388.60</v>
          </cell>
          <cell r="P104" t="str">
            <v>0.00</v>
          </cell>
          <cell r="Q104" t="str">
            <v>38791.78</v>
          </cell>
          <cell r="R104">
            <v>1892</v>
          </cell>
          <cell r="S104" t="str">
            <v>30510.00</v>
          </cell>
          <cell r="T104" t="str">
            <v>27,316,518</v>
          </cell>
          <cell r="V104" t="str">
            <v>0.00</v>
          </cell>
          <cell r="W104">
            <v>0</v>
          </cell>
          <cell r="X104" t="str">
            <v>13214743-4</v>
          </cell>
          <cell r="Y104" t="str">
            <v>23-01-2026</v>
          </cell>
          <cell r="Z104" t="str">
            <v>SI</v>
          </cell>
          <cell r="AA104" t="str">
            <v>NO</v>
          </cell>
          <cell r="AB104" t="str">
            <v>21-08-2026</v>
          </cell>
          <cell r="AC104" t="str">
            <v>Sin Aprobar</v>
          </cell>
        </row>
        <row r="105">
          <cell r="A105">
            <v>348</v>
          </cell>
          <cell r="B105" t="str">
            <v>03-01-2026</v>
          </cell>
          <cell r="C105" t="str">
            <v>06-01-2026</v>
          </cell>
          <cell r="D105" t="str">
            <v>EVER LUCKY</v>
          </cell>
          <cell r="E105" t="str">
            <v>MARITIMO</v>
          </cell>
          <cell r="F105" t="str">
            <v>HUASHENG</v>
          </cell>
          <cell r="G105" t="str">
            <v>CHUN WAN YI (GUANGZHOU) SUPPLY CHAIN MANAGEMENT CO., LTD</v>
          </cell>
          <cell r="H105" t="str">
            <v>NECTARINES</v>
          </cell>
          <cell r="I105" t="str">
            <v>BRIGHT PEARL / ISI WHITE / SUPER QUEEN /</v>
          </cell>
          <cell r="J105" t="str">
            <v>ALMAHUE EXPORT</v>
          </cell>
          <cell r="K105" t="str">
            <v>CONS-LIBRE</v>
          </cell>
          <cell r="L105" t="str">
            <v>FOB</v>
          </cell>
          <cell r="M105" t="str">
            <v>2400</v>
          </cell>
          <cell r="N105" t="str">
            <v>39244.16</v>
          </cell>
          <cell r="O105" t="str">
            <v>5491.14</v>
          </cell>
          <cell r="P105" t="str">
            <v>0.00</v>
          </cell>
          <cell r="Q105" t="str">
            <v>23683.78</v>
          </cell>
          <cell r="R105">
            <v>1891</v>
          </cell>
          <cell r="S105" t="str">
            <v>14400.00</v>
          </cell>
          <cell r="T105" t="str">
            <v>13,034,016</v>
          </cell>
          <cell r="V105" t="str">
            <v>0.00</v>
          </cell>
          <cell r="W105">
            <v>0</v>
          </cell>
          <cell r="X105" t="str">
            <v>13210457-3</v>
          </cell>
          <cell r="Y105" t="str">
            <v>13-01-2026</v>
          </cell>
          <cell r="Z105" t="str">
            <v>SI</v>
          </cell>
          <cell r="AA105" t="str">
            <v>NO</v>
          </cell>
          <cell r="AB105" t="str">
            <v>11-08-2026</v>
          </cell>
          <cell r="AC105" t="str">
            <v>Sin Aprobar</v>
          </cell>
        </row>
        <row r="106">
          <cell r="A106">
            <v>347</v>
          </cell>
          <cell r="B106" t="str">
            <v>03-01-2026</v>
          </cell>
          <cell r="C106" t="str">
            <v>06-01-2026</v>
          </cell>
          <cell r="D106" t="str">
            <v>EVER LUCKY</v>
          </cell>
          <cell r="E106" t="str">
            <v>MARITIMO</v>
          </cell>
          <cell r="F106" t="str">
            <v>FRESH LINK GUANGZHOU</v>
          </cell>
          <cell r="G106" t="str">
            <v>SHENZHEN FANYA XIANSHIHUI CO.,LTD</v>
          </cell>
          <cell r="H106" t="str">
            <v>NECTARINES</v>
          </cell>
          <cell r="I106" t="str">
            <v>BRIGHT PEARL /</v>
          </cell>
          <cell r="J106" t="str">
            <v>ALMAHUE EXPORT</v>
          </cell>
          <cell r="K106" t="str">
            <v>CONS-LIBRE</v>
          </cell>
          <cell r="L106" t="str">
            <v>FOB</v>
          </cell>
          <cell r="M106" t="str">
            <v>2400</v>
          </cell>
          <cell r="N106" t="str">
            <v>298200.60</v>
          </cell>
          <cell r="O106" t="str">
            <v>39270.00</v>
          </cell>
          <cell r="P106" t="str">
            <v>0.00</v>
          </cell>
          <cell r="Q106" t="str">
            <v>182529.73</v>
          </cell>
          <cell r="R106">
            <v>1886</v>
          </cell>
          <cell r="S106" t="str">
            <v>14400.00</v>
          </cell>
          <cell r="T106" t="str">
            <v>13,034,016</v>
          </cell>
          <cell r="V106" t="str">
            <v>0.00</v>
          </cell>
          <cell r="W106">
            <v>0</v>
          </cell>
          <cell r="X106" t="str">
            <v>13210438-7</v>
          </cell>
          <cell r="Y106" t="str">
            <v>13-01-2026</v>
          </cell>
          <cell r="Z106" t="str">
            <v>SI</v>
          </cell>
          <cell r="AA106" t="str">
            <v>NO</v>
          </cell>
          <cell r="AB106" t="str">
            <v>11-08-2026</v>
          </cell>
          <cell r="AC106" t="str">
            <v>Sin Aprobar</v>
          </cell>
        </row>
        <row r="107">
          <cell r="A107">
            <v>346</v>
          </cell>
          <cell r="B107" t="str">
            <v>03-01-2026</v>
          </cell>
          <cell r="C107" t="str">
            <v>06-01-2026</v>
          </cell>
          <cell r="D107" t="str">
            <v>EVER LUCKY</v>
          </cell>
          <cell r="E107" t="str">
            <v>MARITIMO</v>
          </cell>
          <cell r="F107" t="str">
            <v>HING LEE</v>
          </cell>
          <cell r="G107" t="str">
            <v>SHENZHEN JINSHUN'AN INTERNATIONAL FREIGHT FORWARDING CO.,LTD</v>
          </cell>
          <cell r="H107" t="str">
            <v>NECTARINES</v>
          </cell>
          <cell r="I107" t="str">
            <v>BRIGHT PEARL / ISI WHITE / SUPER QUEEN /</v>
          </cell>
          <cell r="J107" t="str">
            <v>ALMAHUE EXPORT</v>
          </cell>
          <cell r="K107" t="str">
            <v>CONS-LIBRE</v>
          </cell>
          <cell r="L107" t="str">
            <v>FOB</v>
          </cell>
          <cell r="M107" t="str">
            <v>2400</v>
          </cell>
          <cell r="N107" t="str">
            <v>29007.96</v>
          </cell>
          <cell r="O107" t="str">
            <v>6805.00</v>
          </cell>
          <cell r="P107" t="str">
            <v>0.00</v>
          </cell>
          <cell r="Q107" t="str">
            <v>13322.88</v>
          </cell>
          <cell r="R107">
            <v>1885</v>
          </cell>
          <cell r="S107" t="str">
            <v>14400.00</v>
          </cell>
          <cell r="T107" t="str">
            <v>13,034,016</v>
          </cell>
          <cell r="V107" t="str">
            <v>0.00</v>
          </cell>
          <cell r="W107">
            <v>0</v>
          </cell>
          <cell r="X107" t="str">
            <v>13210803-K</v>
          </cell>
          <cell r="Y107" t="str">
            <v>14-01-2026</v>
          </cell>
          <cell r="Z107" t="str">
            <v>SI</v>
          </cell>
          <cell r="AA107" t="str">
            <v>NO</v>
          </cell>
          <cell r="AB107" t="str">
            <v>12-08-2026</v>
          </cell>
          <cell r="AC107" t="str">
            <v>Sin Aprobar</v>
          </cell>
        </row>
        <row r="108">
          <cell r="A108">
            <v>345</v>
          </cell>
          <cell r="B108" t="str">
            <v>03-01-2026</v>
          </cell>
          <cell r="C108" t="str">
            <v>06-01-2026</v>
          </cell>
          <cell r="D108" t="str">
            <v>EVER LUCKY</v>
          </cell>
          <cell r="E108" t="str">
            <v>MARITIMO</v>
          </cell>
          <cell r="F108" t="str">
            <v>HUASHENG</v>
          </cell>
          <cell r="G108" t="str">
            <v>CHUN WAN YI (GUANGZHOU) SUPPLY CHAIN MANAGEMENT CO., LTD</v>
          </cell>
          <cell r="H108" t="str">
            <v>NECTARINES</v>
          </cell>
          <cell r="I108" t="str">
            <v>ISI WHITE / SUPER QUEEN / YELLOW HONEY /</v>
          </cell>
          <cell r="J108" t="str">
            <v>ALMAHUE EXPORT</v>
          </cell>
          <cell r="K108" t="str">
            <v>CONS-LIBRE</v>
          </cell>
          <cell r="L108" t="str">
            <v>FOB</v>
          </cell>
          <cell r="M108" t="str">
            <v>2400</v>
          </cell>
          <cell r="N108" t="str">
            <v>18919.68</v>
          </cell>
          <cell r="O108" t="str">
            <v>4043.43</v>
          </cell>
          <cell r="P108" t="str">
            <v>0.00</v>
          </cell>
          <cell r="Q108" t="str">
            <v>6368.80</v>
          </cell>
          <cell r="R108">
            <v>1890</v>
          </cell>
          <cell r="S108" t="str">
            <v>14400.00</v>
          </cell>
          <cell r="T108" t="str">
            <v>13,034,016</v>
          </cell>
          <cell r="V108" t="str">
            <v>0.00</v>
          </cell>
          <cell r="W108">
            <v>0</v>
          </cell>
          <cell r="X108" t="str">
            <v>13210413-1</v>
          </cell>
          <cell r="Y108" t="str">
            <v>13-01-2026</v>
          </cell>
          <cell r="Z108" t="str">
            <v>SI</v>
          </cell>
          <cell r="AA108" t="str">
            <v>NO</v>
          </cell>
          <cell r="AB108" t="str">
            <v>11-08-2026</v>
          </cell>
          <cell r="AC108" t="str">
            <v>Sin Aprobar</v>
          </cell>
        </row>
        <row r="109">
          <cell r="A109">
            <v>344</v>
          </cell>
          <cell r="B109" t="str">
            <v>31-12-2025</v>
          </cell>
          <cell r="C109" t="str">
            <v>03-01-2026</v>
          </cell>
          <cell r="D109" t="str">
            <v>BUENOS AIRES EXPRESS</v>
          </cell>
          <cell r="E109" t="str">
            <v>MARITIMO</v>
          </cell>
          <cell r="F109" t="str">
            <v>GREATHER FRUIT</v>
          </cell>
          <cell r="G109" t="str">
            <v>GREATHER FRUIT TRADING CO. LTD</v>
          </cell>
          <cell r="H109" t="str">
            <v>NECTARINES</v>
          </cell>
          <cell r="I109" t="str">
            <v>ISI WHITE /</v>
          </cell>
          <cell r="J109" t="str">
            <v>ALMAHUE EXPORT</v>
          </cell>
          <cell r="K109" t="str">
            <v>CONS-LIBRE</v>
          </cell>
          <cell r="L109" t="str">
            <v>FOB</v>
          </cell>
          <cell r="M109" t="str">
            <v>2400</v>
          </cell>
          <cell r="N109" t="str">
            <v>32753.28</v>
          </cell>
          <cell r="O109" t="str">
            <v>9837.94</v>
          </cell>
          <cell r="P109" t="str">
            <v>0.00</v>
          </cell>
          <cell r="Q109" t="str">
            <v>7750.44</v>
          </cell>
          <cell r="R109">
            <v>1889</v>
          </cell>
          <cell r="S109" t="str">
            <v>14400.00</v>
          </cell>
          <cell r="T109" t="str">
            <v>13,062,672</v>
          </cell>
          <cell r="V109" t="str">
            <v>0.00</v>
          </cell>
          <cell r="W109">
            <v>0</v>
          </cell>
          <cell r="X109" t="str">
            <v>13206110-6</v>
          </cell>
          <cell r="Y109" t="str">
            <v>14-01-2026</v>
          </cell>
          <cell r="Z109" t="str">
            <v>SI</v>
          </cell>
          <cell r="AA109" t="str">
            <v>NO</v>
          </cell>
          <cell r="AB109" t="str">
            <v>12-08-2026</v>
          </cell>
          <cell r="AC109" t="str">
            <v>Sin Aprobar</v>
          </cell>
        </row>
        <row r="110">
          <cell r="A110">
            <v>343</v>
          </cell>
          <cell r="B110" t="str">
            <v>30-12-2025</v>
          </cell>
          <cell r="C110" t="str">
            <v>03-01-2026</v>
          </cell>
          <cell r="D110" t="str">
            <v>BUENOS AIRES EXPRESS</v>
          </cell>
          <cell r="E110" t="str">
            <v>MARITIMO</v>
          </cell>
          <cell r="F110" t="str">
            <v>KINGO</v>
          </cell>
          <cell r="G110" t="str">
            <v>FLOURISH MANAGEMENT LIMITED</v>
          </cell>
          <cell r="H110" t="str">
            <v>CEREZAS</v>
          </cell>
          <cell r="I110" t="str">
            <v>REGINA /</v>
          </cell>
          <cell r="J110" t="str">
            <v>ALMAHUE EXPORT</v>
          </cell>
          <cell r="K110" t="str">
            <v>CONS-LIBRE</v>
          </cell>
          <cell r="L110" t="str">
            <v>FOB</v>
          </cell>
          <cell r="M110" t="str">
            <v>3514</v>
          </cell>
          <cell r="N110" t="str">
            <v>372784.77</v>
          </cell>
          <cell r="O110" t="str">
            <v>80699.66</v>
          </cell>
          <cell r="P110" t="str">
            <v>0.00</v>
          </cell>
          <cell r="Q110" t="str">
            <v>223828.41</v>
          </cell>
          <cell r="R110">
            <v>1888</v>
          </cell>
          <cell r="S110" t="str">
            <v>35140.00</v>
          </cell>
          <cell r="T110" t="str">
            <v>31,876,548</v>
          </cell>
          <cell r="V110" t="str">
            <v>0.00</v>
          </cell>
          <cell r="W110">
            <v>0</v>
          </cell>
          <cell r="X110" t="str">
            <v>13205472-K</v>
          </cell>
          <cell r="Y110" t="str">
            <v>14-01-2026</v>
          </cell>
          <cell r="Z110" t="str">
            <v>SI</v>
          </cell>
          <cell r="AA110" t="str">
            <v>NO</v>
          </cell>
          <cell r="AB110" t="str">
            <v>12-08-2026</v>
          </cell>
          <cell r="AC110" t="str">
            <v>Sin Aprobar</v>
          </cell>
        </row>
        <row r="111">
          <cell r="A111">
            <v>342</v>
          </cell>
          <cell r="B111" t="str">
            <v>30-12-2025</v>
          </cell>
          <cell r="C111" t="str">
            <v>03-01-2026</v>
          </cell>
          <cell r="D111" t="str">
            <v>BUENOS AIRES EXPRESS</v>
          </cell>
          <cell r="E111" t="str">
            <v>MARITIMO</v>
          </cell>
          <cell r="F111" t="str">
            <v>HING LEE</v>
          </cell>
          <cell r="G111" t="str">
            <v>SHENZHEN JINSHUN'AN INTERNATIONAL FREIGHT FORWARDING CO.,LTD</v>
          </cell>
          <cell r="H111" t="str">
            <v>NECTARINES</v>
          </cell>
          <cell r="I111" t="str">
            <v>BRIGHT PEARL / SUPER QUEEN /</v>
          </cell>
          <cell r="J111" t="str">
            <v>ALMAHUE EXPORT</v>
          </cell>
          <cell r="K111" t="str">
            <v>CONS-LIBRE</v>
          </cell>
          <cell r="L111" t="str">
            <v>FOB</v>
          </cell>
          <cell r="M111" t="str">
            <v>2400</v>
          </cell>
          <cell r="N111" t="str">
            <v>43884.11</v>
          </cell>
          <cell r="O111" t="str">
            <v>11285.00</v>
          </cell>
          <cell r="P111" t="str">
            <v>0.00</v>
          </cell>
          <cell r="Q111" t="str">
            <v>22224.06</v>
          </cell>
          <cell r="R111">
            <v>1884</v>
          </cell>
          <cell r="S111" t="str">
            <v>14400.00</v>
          </cell>
          <cell r="T111" t="str">
            <v>13,062,672</v>
          </cell>
          <cell r="V111" t="str">
            <v>0.00</v>
          </cell>
          <cell r="W111">
            <v>0</v>
          </cell>
          <cell r="X111" t="str">
            <v>13203363-3</v>
          </cell>
          <cell r="Y111" t="str">
            <v>14-01-2026</v>
          </cell>
          <cell r="Z111" t="str">
            <v>SI</v>
          </cell>
          <cell r="AA111" t="str">
            <v>NO</v>
          </cell>
          <cell r="AB111" t="str">
            <v>12-08-2026</v>
          </cell>
          <cell r="AC111" t="str">
            <v>Sin Aprobar</v>
          </cell>
        </row>
        <row r="112">
          <cell r="A112">
            <v>341</v>
          </cell>
          <cell r="B112" t="str">
            <v>30-12-2025</v>
          </cell>
          <cell r="C112" t="str">
            <v>31-12-2025</v>
          </cell>
          <cell r="D112" t="str">
            <v>AUTUMN STREAM</v>
          </cell>
          <cell r="E112" t="str">
            <v>MARITIMO</v>
          </cell>
          <cell r="F112" t="str">
            <v>BLOSSOM FRUIT INTERNATIONAL, LLC.</v>
          </cell>
          <cell r="G112" t="str">
            <v>BLOSSOM FRUIT INTERNATIONAL, LLC</v>
          </cell>
          <cell r="H112" t="str">
            <v>NECTARINES</v>
          </cell>
          <cell r="I112" t="str">
            <v>YELLOW HONEY /</v>
          </cell>
          <cell r="J112" t="str">
            <v>ALMAHUE EXPORT</v>
          </cell>
          <cell r="K112" t="str">
            <v>CONS-LIBRE</v>
          </cell>
          <cell r="L112" t="str">
            <v>FOB</v>
          </cell>
          <cell r="M112" t="str">
            <v>2080</v>
          </cell>
          <cell r="N112" t="str">
            <v>25261.01</v>
          </cell>
          <cell r="O112" t="str">
            <v>8645.00</v>
          </cell>
          <cell r="P112" t="str">
            <v>0.00</v>
          </cell>
          <cell r="Q112" t="str">
            <v>9943.70</v>
          </cell>
          <cell r="R112">
            <v>1881</v>
          </cell>
          <cell r="S112" t="str">
            <v>12480.00</v>
          </cell>
          <cell r="T112" t="str">
            <v>11,371,526</v>
          </cell>
          <cell r="V112" t="str">
            <v>0.00</v>
          </cell>
          <cell r="W112">
            <v>0</v>
          </cell>
          <cell r="X112" t="str">
            <v>13203115-0</v>
          </cell>
          <cell r="Y112" t="str">
            <v>09-01-2026</v>
          </cell>
          <cell r="Z112" t="str">
            <v>SI</v>
          </cell>
          <cell r="AA112" t="str">
            <v>NO</v>
          </cell>
          <cell r="AB112" t="str">
            <v>07-08-2026</v>
          </cell>
          <cell r="AC112" t="str">
            <v>Sin Aprobar</v>
          </cell>
        </row>
        <row r="113">
          <cell r="A113">
            <v>340</v>
          </cell>
          <cell r="B113" t="str">
            <v>30-12-2025</v>
          </cell>
          <cell r="C113" t="str">
            <v>03-01-2026</v>
          </cell>
          <cell r="D113" t="str">
            <v>BUENOS AIRES EXPRESS</v>
          </cell>
          <cell r="E113" t="str">
            <v>MARITIMO</v>
          </cell>
          <cell r="F113" t="str">
            <v>HUASHENG</v>
          </cell>
          <cell r="G113" t="str">
            <v>CHUN WAN YI (GUANGZHOU) SUPPLY CHAIN MANAGEMENT CO., LTD</v>
          </cell>
          <cell r="H113" t="str">
            <v>NECTARINES</v>
          </cell>
          <cell r="I113" t="str">
            <v>SUPER QUEEN / YELLOW HONEY /</v>
          </cell>
          <cell r="J113" t="str">
            <v>ALMAHUE EXPORT</v>
          </cell>
          <cell r="K113" t="str">
            <v>CONS-LIBRE</v>
          </cell>
          <cell r="L113" t="str">
            <v>FOB</v>
          </cell>
          <cell r="M113" t="str">
            <v>2400</v>
          </cell>
          <cell r="N113" t="str">
            <v>40339.92</v>
          </cell>
          <cell r="O113" t="str">
            <v>11054.00</v>
          </cell>
          <cell r="P113" t="str">
            <v>0.00</v>
          </cell>
          <cell r="Q113" t="str">
            <v>18589.63</v>
          </cell>
          <cell r="R113">
            <v>1887</v>
          </cell>
          <cell r="S113" t="str">
            <v>14400.00</v>
          </cell>
          <cell r="T113" t="str">
            <v>13,062,672</v>
          </cell>
          <cell r="V113" t="str">
            <v>0.00</v>
          </cell>
          <cell r="W113">
            <v>0</v>
          </cell>
          <cell r="X113" t="str">
            <v>13203326-9</v>
          </cell>
          <cell r="Y113" t="str">
            <v>14-01-2026</v>
          </cell>
          <cell r="Z113" t="str">
            <v>SI</v>
          </cell>
          <cell r="AA113" t="str">
            <v>NO</v>
          </cell>
          <cell r="AB113" t="str">
            <v>12-08-2026</v>
          </cell>
          <cell r="AC113" t="str">
            <v>Sin Aprobar</v>
          </cell>
        </row>
        <row r="114">
          <cell r="A114">
            <v>339</v>
          </cell>
          <cell r="B114" t="str">
            <v>05-01-2026</v>
          </cell>
          <cell r="C114" t="str">
            <v>10-01-2026</v>
          </cell>
          <cell r="D114" t="str">
            <v>MSC VALENTINA</v>
          </cell>
          <cell r="E114" t="str">
            <v>MARITIMO</v>
          </cell>
          <cell r="F114" t="str">
            <v>ACUMEN</v>
          </cell>
          <cell r="G114" t="str">
            <v>COPSAYS, S.A DE C.V</v>
          </cell>
          <cell r="H114" t="str">
            <v>NECTARINES</v>
          </cell>
          <cell r="I114" t="str">
            <v>ISI WHITE /</v>
          </cell>
          <cell r="J114" t="str">
            <v>ALMAHUE EXPORT</v>
          </cell>
          <cell r="K114" t="str">
            <v>CONS-LIBRE</v>
          </cell>
          <cell r="L114" t="str">
            <v>FOB</v>
          </cell>
          <cell r="M114" t="str">
            <v>2314</v>
          </cell>
          <cell r="N114" t="str">
            <v>44642.50</v>
          </cell>
          <cell r="O114" t="str">
            <v>4000.00</v>
          </cell>
          <cell r="P114" t="str">
            <v>0.00</v>
          </cell>
          <cell r="Q114" t="str">
            <v>27860.25</v>
          </cell>
          <cell r="R114">
            <v>1895</v>
          </cell>
          <cell r="S114" t="str">
            <v>13884.00</v>
          </cell>
          <cell r="T114" t="str">
            <v>12,452,421</v>
          </cell>
          <cell r="V114" t="str">
            <v>0.00</v>
          </cell>
          <cell r="W114">
            <v>0</v>
          </cell>
          <cell r="X114" t="str">
            <v>13210620-7</v>
          </cell>
          <cell r="Y114" t="str">
            <v>20-01-2026</v>
          </cell>
          <cell r="Z114" t="str">
            <v>SI</v>
          </cell>
          <cell r="AA114" t="str">
            <v>NO</v>
          </cell>
          <cell r="AB114" t="str">
            <v>18-08-2026</v>
          </cell>
          <cell r="AC114" t="str">
            <v>Sin Aprobar</v>
          </cell>
        </row>
        <row r="115">
          <cell r="A115">
            <v>338</v>
          </cell>
          <cell r="B115" t="str">
            <v>02-01-2026</v>
          </cell>
          <cell r="C115" t="str">
            <v>03-01-2026</v>
          </cell>
          <cell r="D115" t="str">
            <v>BUENOS AIRES EXPRESS</v>
          </cell>
          <cell r="E115" t="str">
            <v>MARITIMO</v>
          </cell>
          <cell r="F115" t="str">
            <v>DORLUNG</v>
          </cell>
          <cell r="G115" t="str">
            <v>SHENZHEN WEI CHENG LI DE TRADE CO.,LTD</v>
          </cell>
          <cell r="H115" t="str">
            <v>CEREZAS</v>
          </cell>
          <cell r="I115" t="str">
            <v>REGINA /</v>
          </cell>
          <cell r="J115" t="str">
            <v>ALMAHUE EXPORT</v>
          </cell>
          <cell r="K115" t="str">
            <v>CONS-LIBRE</v>
          </cell>
          <cell r="L115" t="str">
            <v>FOB</v>
          </cell>
          <cell r="M115" t="str">
            <v>3536</v>
          </cell>
          <cell r="N115" t="str">
            <v>120556.38</v>
          </cell>
          <cell r="O115" t="str">
            <v>11082.00</v>
          </cell>
          <cell r="P115" t="str">
            <v>0.00</v>
          </cell>
          <cell r="Q115" t="str">
            <v>87212.92</v>
          </cell>
          <cell r="R115">
            <v>1883</v>
          </cell>
          <cell r="S115" t="str">
            <v>35360.00</v>
          </cell>
          <cell r="T115" t="str">
            <v>32,076,117</v>
          </cell>
          <cell r="V115" t="str">
            <v>0.00</v>
          </cell>
          <cell r="W115">
            <v>0</v>
          </cell>
          <cell r="X115" t="str">
            <v>13206178-5</v>
          </cell>
          <cell r="Y115" t="str">
            <v>20-01-2026</v>
          </cell>
          <cell r="Z115" t="str">
            <v>SI</v>
          </cell>
          <cell r="AA115" t="str">
            <v>NO</v>
          </cell>
          <cell r="AB115" t="str">
            <v>18-08-2026</v>
          </cell>
          <cell r="AC115" t="str">
            <v>Sin Aprobar</v>
          </cell>
        </row>
        <row r="116">
          <cell r="A116">
            <v>337</v>
          </cell>
          <cell r="B116" t="str">
            <v>30-12-2025</v>
          </cell>
          <cell r="C116" t="str">
            <v>03-01-2026</v>
          </cell>
          <cell r="D116" t="str">
            <v>ATACAMA</v>
          </cell>
          <cell r="E116" t="str">
            <v>MARITIMO</v>
          </cell>
          <cell r="F116" t="str">
            <v>HING LEE</v>
          </cell>
          <cell r="G116" t="str">
            <v>SHENZHEN JINSHUN'AN INTERNATIONAL FREIGHT FORWARDING CO.,LTD</v>
          </cell>
          <cell r="H116" t="str">
            <v>CEREZAS</v>
          </cell>
          <cell r="I116" t="str">
            <v>REGINA /</v>
          </cell>
          <cell r="J116" t="str">
            <v>ALMAHUE EXPORT</v>
          </cell>
          <cell r="K116" t="str">
            <v>CONS-LIBRE</v>
          </cell>
          <cell r="L116" t="str">
            <v>FOB</v>
          </cell>
          <cell r="M116" t="str">
            <v>3520</v>
          </cell>
          <cell r="N116" t="str">
            <v>79331.91</v>
          </cell>
          <cell r="O116" t="str">
            <v>10801.28</v>
          </cell>
          <cell r="P116" t="str">
            <v>0.00</v>
          </cell>
          <cell r="Q116" t="str">
            <v>48872.34</v>
          </cell>
          <cell r="R116">
            <v>1882</v>
          </cell>
          <cell r="S116" t="str">
            <v>35200.00</v>
          </cell>
          <cell r="T116" t="str">
            <v>31,930,976</v>
          </cell>
          <cell r="V116" t="str">
            <v>0.00</v>
          </cell>
          <cell r="W116">
            <v>0</v>
          </cell>
          <cell r="X116" t="str">
            <v>13203239-4</v>
          </cell>
          <cell r="Y116" t="str">
            <v>25-01-2026</v>
          </cell>
          <cell r="Z116" t="str">
            <v>SI</v>
          </cell>
          <cell r="AA116" t="str">
            <v>NO</v>
          </cell>
          <cell r="AB116" t="str">
            <v>23-08-2026</v>
          </cell>
          <cell r="AC116" t="str">
            <v>Sin Aprobar</v>
          </cell>
        </row>
        <row r="117">
          <cell r="A117">
            <v>336</v>
          </cell>
          <cell r="B117" t="str">
            <v>29-12-2025</v>
          </cell>
          <cell r="C117" t="str">
            <v>30-12-2025</v>
          </cell>
          <cell r="D117" t="str">
            <v>COSCO MALAYSIA</v>
          </cell>
          <cell r="E117" t="str">
            <v>MARITIMO</v>
          </cell>
          <cell r="F117" t="str">
            <v>SUNHOLA</v>
          </cell>
          <cell r="G117" t="str">
            <v>HUBEI SHOUHENG SUPPLY CHAIN MANAGEMENT CO. , LTD</v>
          </cell>
          <cell r="H117" t="str">
            <v>CEREZAS</v>
          </cell>
          <cell r="I117" t="str">
            <v>REGINA / SWEET HEART /</v>
          </cell>
          <cell r="J117" t="str">
            <v>ALMAHUE EXPORT</v>
          </cell>
          <cell r="K117" t="str">
            <v>CONS-LIBRE</v>
          </cell>
          <cell r="L117" t="str">
            <v>FOB</v>
          </cell>
          <cell r="M117" t="str">
            <v>3544</v>
          </cell>
          <cell r="N117" t="str">
            <v>715610.00</v>
          </cell>
          <cell r="O117" t="str">
            <v>68271.03</v>
          </cell>
          <cell r="P117" t="str">
            <v>0.00</v>
          </cell>
          <cell r="Q117" t="str">
            <v>519327.47</v>
          </cell>
          <cell r="R117">
            <v>1875</v>
          </cell>
          <cell r="S117" t="str">
            <v>35440.00</v>
          </cell>
          <cell r="T117" t="str">
            <v>32,292,219</v>
          </cell>
          <cell r="V117" t="str">
            <v>0.00</v>
          </cell>
          <cell r="W117">
            <v>0</v>
          </cell>
          <cell r="X117" t="str">
            <v>13200056-5</v>
          </cell>
          <cell r="Y117" t="str">
            <v>08-01-2026</v>
          </cell>
          <cell r="Z117" t="str">
            <v>SI</v>
          </cell>
          <cell r="AA117" t="str">
            <v>NO</v>
          </cell>
          <cell r="AB117" t="str">
            <v>06-08-2026</v>
          </cell>
          <cell r="AC117" t="str">
            <v>Sin Aprobar</v>
          </cell>
        </row>
        <row r="118">
          <cell r="A118">
            <v>335</v>
          </cell>
          <cell r="B118" t="str">
            <v>28-12-2025</v>
          </cell>
          <cell r="C118" t="str">
            <v>30-12-2025</v>
          </cell>
          <cell r="D118" t="str">
            <v>COSCO MALAYSIA</v>
          </cell>
          <cell r="E118" t="str">
            <v>MARITIMO</v>
          </cell>
          <cell r="F118" t="str">
            <v>CHEN SUN</v>
          </cell>
          <cell r="G118" t="str">
            <v>LUSHANG INTERNATIONAL TRADE CO., LTD.</v>
          </cell>
          <cell r="H118" t="str">
            <v>CEREZAS</v>
          </cell>
          <cell r="I118" t="str">
            <v>REGINA / SWEET HEART /</v>
          </cell>
          <cell r="J118" t="str">
            <v>ALMAHUE EXPORT</v>
          </cell>
          <cell r="K118" t="str">
            <v>CONS-LIBRE</v>
          </cell>
          <cell r="L118" t="str">
            <v>FOB</v>
          </cell>
          <cell r="M118" t="str">
            <v>3520</v>
          </cell>
          <cell r="N118" t="str">
            <v>685270.69</v>
          </cell>
          <cell r="O118" t="str">
            <v>68171.00</v>
          </cell>
          <cell r="P118" t="str">
            <v>0.00</v>
          </cell>
          <cell r="Q118" t="str">
            <v>467458.74</v>
          </cell>
          <cell r="R118">
            <v>1874</v>
          </cell>
          <cell r="S118" t="str">
            <v>35200.00</v>
          </cell>
          <cell r="T118" t="str">
            <v>32,073,536</v>
          </cell>
          <cell r="V118" t="str">
            <v>0.00</v>
          </cell>
          <cell r="W118">
            <v>0</v>
          </cell>
          <cell r="X118" t="str">
            <v>13200055-7</v>
          </cell>
          <cell r="Y118" t="str">
            <v>08-01-2026</v>
          </cell>
          <cell r="Z118" t="str">
            <v>SI</v>
          </cell>
          <cell r="AA118" t="str">
            <v>NO</v>
          </cell>
          <cell r="AB118" t="str">
            <v>06-08-2026</v>
          </cell>
          <cell r="AC118" t="str">
            <v>Sin Aprobar</v>
          </cell>
        </row>
        <row r="119">
          <cell r="A119">
            <v>334</v>
          </cell>
          <cell r="B119" t="str">
            <v>28-12-2025</v>
          </cell>
          <cell r="C119" t="str">
            <v>30-12-2025</v>
          </cell>
          <cell r="D119" t="str">
            <v>COSCO MALAYSIA</v>
          </cell>
          <cell r="E119" t="str">
            <v>MARITIMO</v>
          </cell>
          <cell r="F119" t="str">
            <v>XINGWAN</v>
          </cell>
          <cell r="G119" t="str">
            <v>ZHEJIANG OHENG IMPORT &amp; EXPORT CO.,LTD.</v>
          </cell>
          <cell r="H119" t="str">
            <v>CEREZAS</v>
          </cell>
          <cell r="I119" t="str">
            <v>REGINA /</v>
          </cell>
          <cell r="J119" t="str">
            <v>ALMAHUE EXPORT</v>
          </cell>
          <cell r="K119" t="str">
            <v>CONS-LIBRE</v>
          </cell>
          <cell r="L119" t="str">
            <v>FOB</v>
          </cell>
          <cell r="M119" t="str">
            <v>3552</v>
          </cell>
          <cell r="N119" t="str">
            <v>715640.10</v>
          </cell>
          <cell r="O119" t="str">
            <v>68271.03</v>
          </cell>
          <cell r="P119" t="str">
            <v>0.00</v>
          </cell>
          <cell r="Q119" t="str">
            <v>520432.91</v>
          </cell>
          <cell r="R119">
            <v>1864</v>
          </cell>
          <cell r="S119" t="str">
            <v>35520.00</v>
          </cell>
          <cell r="T119" t="str">
            <v>32,365,114</v>
          </cell>
          <cell r="V119" t="str">
            <v>0.00</v>
          </cell>
          <cell r="W119">
            <v>0</v>
          </cell>
          <cell r="X119" t="str">
            <v>13200050-6</v>
          </cell>
          <cell r="Y119" t="str">
            <v>08-01-2026</v>
          </cell>
          <cell r="Z119" t="str">
            <v>SI</v>
          </cell>
          <cell r="AA119" t="str">
            <v>NO</v>
          </cell>
          <cell r="AB119" t="str">
            <v>06-08-2026</v>
          </cell>
          <cell r="AC119" t="str">
            <v>Sin Aprobar</v>
          </cell>
        </row>
        <row r="120">
          <cell r="A120">
            <v>333</v>
          </cell>
          <cell r="B120" t="str">
            <v>28-12-2025</v>
          </cell>
          <cell r="C120" t="str">
            <v>30-12-2025</v>
          </cell>
          <cell r="D120" t="str">
            <v>COSCO MALAYSIA</v>
          </cell>
          <cell r="E120" t="str">
            <v>MARITIMO</v>
          </cell>
          <cell r="F120" t="str">
            <v>HUASHENG</v>
          </cell>
          <cell r="G120" t="str">
            <v>CHUN WAN YI (GUANGZHOU) SUPPLY CHAIN MANAGEMENT CO., LTD</v>
          </cell>
          <cell r="H120" t="str">
            <v>CEREZAS</v>
          </cell>
          <cell r="I120" t="str">
            <v>LAPINS / REGINA / SKEENA /</v>
          </cell>
          <cell r="J120" t="str">
            <v>ALMAHUE EXPORT</v>
          </cell>
          <cell r="K120" t="str">
            <v>CONS-LIBRE</v>
          </cell>
          <cell r="L120" t="str">
            <v>FOB</v>
          </cell>
          <cell r="M120" t="str">
            <v>3568</v>
          </cell>
          <cell r="N120" t="str">
            <v>106433.29</v>
          </cell>
          <cell r="O120" t="str">
            <v>9568.16</v>
          </cell>
          <cell r="P120" t="str">
            <v>0.00</v>
          </cell>
          <cell r="Q120" t="str">
            <v>78871.19</v>
          </cell>
          <cell r="R120">
            <v>1863</v>
          </cell>
          <cell r="S120" t="str">
            <v>35680.00</v>
          </cell>
          <cell r="T120" t="str">
            <v>32,510,902</v>
          </cell>
          <cell r="V120" t="str">
            <v>0.00</v>
          </cell>
          <cell r="W120">
            <v>0</v>
          </cell>
          <cell r="X120" t="str">
            <v>13200042-5</v>
          </cell>
          <cell r="Y120" t="str">
            <v>08-01-2026</v>
          </cell>
          <cell r="Z120" t="str">
            <v>SI</v>
          </cell>
          <cell r="AA120" t="str">
            <v>NO</v>
          </cell>
          <cell r="AB120" t="str">
            <v>06-08-2026</v>
          </cell>
          <cell r="AC120" t="str">
            <v>Sin Aprobar</v>
          </cell>
        </row>
        <row r="121">
          <cell r="A121">
            <v>332</v>
          </cell>
          <cell r="B121" t="str">
            <v>28-12-2025</v>
          </cell>
          <cell r="C121" t="str">
            <v>30-12-2025</v>
          </cell>
          <cell r="D121" t="str">
            <v>COSCO MALAYSIA</v>
          </cell>
          <cell r="E121" t="str">
            <v>MARITIMO</v>
          </cell>
          <cell r="F121" t="str">
            <v>YUERUN TRADING</v>
          </cell>
          <cell r="G121" t="str">
            <v>SHENZHEN FANYA XIANSHIHUI CO.,LTD</v>
          </cell>
          <cell r="H121" t="str">
            <v>CEREZAS</v>
          </cell>
          <cell r="I121" t="str">
            <v>REGINA /</v>
          </cell>
          <cell r="J121" t="str">
            <v>ALMAHUE EXPORT</v>
          </cell>
          <cell r="K121" t="str">
            <v>CONS-LIBRE</v>
          </cell>
          <cell r="L121" t="str">
            <v>FOB</v>
          </cell>
          <cell r="M121" t="str">
            <v>3552</v>
          </cell>
          <cell r="N121" t="str">
            <v>913720.96</v>
          </cell>
          <cell r="O121" t="str">
            <v>68384.50</v>
          </cell>
          <cell r="P121" t="str">
            <v>0.00</v>
          </cell>
          <cell r="Q121" t="str">
            <v>680842.27</v>
          </cell>
          <cell r="R121">
            <v>1873</v>
          </cell>
          <cell r="S121" t="str">
            <v>35520.00</v>
          </cell>
          <cell r="T121" t="str">
            <v>32,365,114</v>
          </cell>
          <cell r="V121" t="str">
            <v>0.00</v>
          </cell>
          <cell r="W121">
            <v>0</v>
          </cell>
          <cell r="X121" t="str">
            <v>13200033-6</v>
          </cell>
          <cell r="Y121" t="str">
            <v>08-01-2026</v>
          </cell>
          <cell r="Z121" t="str">
            <v>SI</v>
          </cell>
          <cell r="AA121" t="str">
            <v>NO</v>
          </cell>
          <cell r="AB121" t="str">
            <v>06-08-2026</v>
          </cell>
          <cell r="AC121" t="str">
            <v>Sin Aprobar</v>
          </cell>
        </row>
        <row r="122">
          <cell r="A122">
            <v>331</v>
          </cell>
          <cell r="B122" t="str">
            <v>29-12-2025</v>
          </cell>
          <cell r="C122" t="str">
            <v>31-12-2025</v>
          </cell>
          <cell r="D122" t="str">
            <v>AUTUMN STREAM</v>
          </cell>
          <cell r="E122" t="str">
            <v>MARITIMO</v>
          </cell>
          <cell r="F122" t="str">
            <v>NORTH BAY</v>
          </cell>
          <cell r="G122" t="str">
            <v>NORTH BAY PRODUCE, INC</v>
          </cell>
          <cell r="H122" t="str">
            <v>CEREZAS</v>
          </cell>
          <cell r="I122" t="str">
            <v>LAPINS / REGINA / SKEENA /</v>
          </cell>
          <cell r="J122" t="str">
            <v>ALMAHUE EXPORT</v>
          </cell>
          <cell r="K122" t="str">
            <v>CONS-LIBRE</v>
          </cell>
          <cell r="L122" t="str">
            <v>FOB</v>
          </cell>
          <cell r="M122" t="str">
            <v>3360</v>
          </cell>
          <cell r="N122" t="str">
            <v>91694.40</v>
          </cell>
          <cell r="O122" t="str">
            <v>9152.74</v>
          </cell>
          <cell r="P122" t="str">
            <v>0.00</v>
          </cell>
          <cell r="Q122" t="str">
            <v>61287.18</v>
          </cell>
          <cell r="R122">
            <v>1879</v>
          </cell>
          <cell r="S122" t="str">
            <v>33600.00</v>
          </cell>
          <cell r="T122" t="str">
            <v>30,615,648</v>
          </cell>
          <cell r="V122" t="str">
            <v>0.00</v>
          </cell>
          <cell r="W122">
            <v>0</v>
          </cell>
          <cell r="X122" t="str">
            <v>13200071-9</v>
          </cell>
          <cell r="Y122" t="str">
            <v>09-01-2026</v>
          </cell>
          <cell r="Z122" t="str">
            <v>SI</v>
          </cell>
          <cell r="AA122" t="str">
            <v>NO</v>
          </cell>
          <cell r="AB122" t="str">
            <v>07-08-2026</v>
          </cell>
          <cell r="AC122" t="str">
            <v>Sin Aprobar</v>
          </cell>
        </row>
        <row r="123">
          <cell r="A123">
            <v>330</v>
          </cell>
          <cell r="B123" t="str">
            <v>27-12-2025</v>
          </cell>
          <cell r="C123" t="str">
            <v>30-12-2025</v>
          </cell>
          <cell r="D123" t="str">
            <v>EVER LEGION</v>
          </cell>
          <cell r="E123" t="str">
            <v>MARITIMO</v>
          </cell>
          <cell r="F123" t="str">
            <v>GREATHER FRUIT</v>
          </cell>
          <cell r="G123" t="str">
            <v>GREATHER FRUIT TRADING CO. LTD</v>
          </cell>
          <cell r="H123" t="str">
            <v>NECTARINES</v>
          </cell>
          <cell r="I123" t="str">
            <v>BRIGHT PEARL / SUPER QUEEN /</v>
          </cell>
          <cell r="J123" t="str">
            <v>ALMAHUE EXPORT</v>
          </cell>
          <cell r="K123" t="str">
            <v>CONS-LIBRE</v>
          </cell>
          <cell r="L123" t="str">
            <v>FOB</v>
          </cell>
          <cell r="M123" t="str">
            <v>2400</v>
          </cell>
          <cell r="N123" t="str">
            <v>39438.00</v>
          </cell>
          <cell r="O123" t="str">
            <v>7574.73</v>
          </cell>
          <cell r="P123" t="str">
            <v>0.00</v>
          </cell>
          <cell r="Q123" t="str">
            <v>17210.23</v>
          </cell>
          <cell r="R123">
            <v>1866</v>
          </cell>
          <cell r="S123" t="str">
            <v>14400.00</v>
          </cell>
          <cell r="T123" t="str">
            <v>13,120,992</v>
          </cell>
          <cell r="V123" t="str">
            <v>0.00</v>
          </cell>
          <cell r="W123">
            <v>0</v>
          </cell>
          <cell r="X123" t="str">
            <v>13199966-6</v>
          </cell>
          <cell r="Y123" t="str">
            <v>16-01-2026</v>
          </cell>
          <cell r="Z123" t="str">
            <v>SI</v>
          </cell>
          <cell r="AA123" t="str">
            <v>NO</v>
          </cell>
          <cell r="AB123" t="str">
            <v>14-08-2026</v>
          </cell>
          <cell r="AC123" t="str">
            <v>Sin Aprobar</v>
          </cell>
        </row>
        <row r="124">
          <cell r="A124">
            <v>329</v>
          </cell>
          <cell r="B124" t="str">
            <v>27-12-2025</v>
          </cell>
          <cell r="C124" t="str">
            <v>30-12-2025</v>
          </cell>
          <cell r="D124" t="str">
            <v>EVER LEGION</v>
          </cell>
          <cell r="E124" t="str">
            <v>MARITIMO</v>
          </cell>
          <cell r="F124" t="str">
            <v>HUASHENG</v>
          </cell>
          <cell r="G124" t="str">
            <v>CHUN WAN YI (GUANGZHOU) SUPPLY CHAIN MANAGEMENT CO., LTD</v>
          </cell>
          <cell r="H124" t="str">
            <v>NECTARINES</v>
          </cell>
          <cell r="I124" t="str">
            <v>BRIGHT PEARL / SUPER QUEEN /</v>
          </cell>
          <cell r="J124" t="str">
            <v>ALMAHUE EXPORT</v>
          </cell>
          <cell r="K124" t="str">
            <v>CONS-LIBRE</v>
          </cell>
          <cell r="L124" t="str">
            <v>FOB</v>
          </cell>
          <cell r="M124" t="str">
            <v>2400</v>
          </cell>
          <cell r="N124" t="str">
            <v>39808.30</v>
          </cell>
          <cell r="O124" t="str">
            <v>7378.00</v>
          </cell>
          <cell r="P124" t="str">
            <v>0.00</v>
          </cell>
          <cell r="Q124" t="str">
            <v>21562.72</v>
          </cell>
          <cell r="R124">
            <v>1865</v>
          </cell>
          <cell r="S124" t="str">
            <v>14400.00</v>
          </cell>
          <cell r="T124" t="str">
            <v>13,120,992</v>
          </cell>
          <cell r="V124" t="str">
            <v>0.00</v>
          </cell>
          <cell r="W124">
            <v>0</v>
          </cell>
          <cell r="X124" t="str">
            <v>13197150-8</v>
          </cell>
          <cell r="Y124" t="str">
            <v>13-01-2026</v>
          </cell>
          <cell r="Z124" t="str">
            <v>SI</v>
          </cell>
          <cell r="AA124" t="str">
            <v>NO</v>
          </cell>
          <cell r="AB124" t="str">
            <v>11-08-2026</v>
          </cell>
          <cell r="AC124" t="str">
            <v>Sin Aprobar</v>
          </cell>
        </row>
        <row r="125">
          <cell r="A125">
            <v>328</v>
          </cell>
          <cell r="B125" t="str">
            <v>27-12-2025</v>
          </cell>
          <cell r="C125" t="str">
            <v>30-12-2025</v>
          </cell>
          <cell r="D125" t="str">
            <v>EVER LEGION</v>
          </cell>
          <cell r="E125" t="str">
            <v>MARITIMO</v>
          </cell>
          <cell r="F125" t="str">
            <v>HING LEE</v>
          </cell>
          <cell r="G125" t="str">
            <v>SHENZHEN JINSHUN'AN INTERNATIONAL FREIGHT FORWARDING CO.,LTD</v>
          </cell>
          <cell r="H125" t="str">
            <v>NECTARINES</v>
          </cell>
          <cell r="I125" t="str">
            <v>BRIGHT PEARL /</v>
          </cell>
          <cell r="J125" t="str">
            <v>ALMAHUE EXPORT</v>
          </cell>
          <cell r="K125" t="str">
            <v>CONS-LIBRE</v>
          </cell>
          <cell r="L125" t="str">
            <v>FOB</v>
          </cell>
          <cell r="M125" t="str">
            <v>2400</v>
          </cell>
          <cell r="N125" t="str">
            <v>41450.04</v>
          </cell>
          <cell r="O125" t="str">
            <v>7444.00</v>
          </cell>
          <cell r="P125" t="str">
            <v>0.00</v>
          </cell>
          <cell r="Q125" t="str">
            <v>23623.04</v>
          </cell>
          <cell r="R125">
            <v>1876</v>
          </cell>
          <cell r="S125" t="str">
            <v>14400.00</v>
          </cell>
          <cell r="T125" t="str">
            <v>13,120,992</v>
          </cell>
          <cell r="V125" t="str">
            <v>0.00</v>
          </cell>
          <cell r="W125">
            <v>0</v>
          </cell>
          <cell r="X125" t="str">
            <v>13197144-3</v>
          </cell>
          <cell r="Y125" t="str">
            <v>13-01-2026</v>
          </cell>
          <cell r="Z125" t="str">
            <v>SI</v>
          </cell>
          <cell r="AA125" t="str">
            <v>NO</v>
          </cell>
          <cell r="AB125" t="str">
            <v>11-08-2026</v>
          </cell>
          <cell r="AC125" t="str">
            <v>Sin Aprobar</v>
          </cell>
        </row>
        <row r="126">
          <cell r="A126">
            <v>327</v>
          </cell>
          <cell r="B126" t="str">
            <v>29-12-2025</v>
          </cell>
          <cell r="C126" t="str">
            <v>01-01-2026</v>
          </cell>
          <cell r="D126" t="str">
            <v>SOUTHAMPTON STAR</v>
          </cell>
          <cell r="E126" t="str">
            <v>MARITIMO</v>
          </cell>
          <cell r="F126" t="str">
            <v>BLOSSOM FRUIT INTERNATIONAL, LLC.</v>
          </cell>
          <cell r="G126" t="str">
            <v>BLOSSOM FRUIT INTERNATIONAL, LLC</v>
          </cell>
          <cell r="H126" t="str">
            <v>NECTARINES</v>
          </cell>
          <cell r="I126" t="str">
            <v>EXTREME RED /</v>
          </cell>
          <cell r="J126" t="str">
            <v>ALMAHUE EXPORT</v>
          </cell>
          <cell r="K126" t="str">
            <v>CONS-LIBRE</v>
          </cell>
          <cell r="L126" t="str">
            <v>FOB</v>
          </cell>
          <cell r="M126" t="str">
            <v>2400</v>
          </cell>
          <cell r="N126" t="str">
            <v>42065.73</v>
          </cell>
          <cell r="O126" t="str">
            <v>8852.86</v>
          </cell>
          <cell r="P126" t="str">
            <v>0.00</v>
          </cell>
          <cell r="Q126" t="str">
            <v>24237.28</v>
          </cell>
          <cell r="R126">
            <v>1880</v>
          </cell>
          <cell r="S126" t="str">
            <v>14400.00</v>
          </cell>
          <cell r="T126" t="str">
            <v>13,120,992</v>
          </cell>
          <cell r="V126" t="str">
            <v>0.00</v>
          </cell>
          <cell r="W126">
            <v>0</v>
          </cell>
          <cell r="X126" t="str">
            <v>13196418-8</v>
          </cell>
          <cell r="Y126" t="str">
            <v>09-01-2026</v>
          </cell>
          <cell r="Z126" t="str">
            <v>SI</v>
          </cell>
          <cell r="AA126" t="str">
            <v>NO</v>
          </cell>
          <cell r="AB126" t="str">
            <v>07-08-2026</v>
          </cell>
          <cell r="AC126" t="str">
            <v>Sin Aprobar</v>
          </cell>
        </row>
        <row r="127">
          <cell r="A127">
            <v>326</v>
          </cell>
          <cell r="B127" t="str">
            <v>28-12-2025</v>
          </cell>
          <cell r="C127" t="str">
            <v>30-12-2025</v>
          </cell>
          <cell r="D127" t="str">
            <v>COSCO MALAYSIA</v>
          </cell>
          <cell r="E127" t="str">
            <v>MARITIMO</v>
          </cell>
          <cell r="F127" t="str">
            <v>WUHAN CCMAX FRUITS CO., LTD</v>
          </cell>
          <cell r="G127" t="str">
            <v>SHANGHAI HUI ZHAN INTERNATIONAL TRADE CO., LTD</v>
          </cell>
          <cell r="H127" t="str">
            <v>CEREZAS</v>
          </cell>
          <cell r="I127" t="str">
            <v>REGINA / SKEENA /</v>
          </cell>
          <cell r="J127" t="str">
            <v>ALMAHUE EXPORT</v>
          </cell>
          <cell r="K127" t="str">
            <v>CONS-LIBRE</v>
          </cell>
          <cell r="L127" t="str">
            <v>FOB</v>
          </cell>
          <cell r="M127" t="str">
            <v>3552</v>
          </cell>
          <cell r="N127" t="str">
            <v>96207.88</v>
          </cell>
          <cell r="O127" t="str">
            <v>10010.30</v>
          </cell>
          <cell r="P127" t="str">
            <v>0.00</v>
          </cell>
          <cell r="Q127" t="str">
            <v>69469.86</v>
          </cell>
          <cell r="R127">
            <v>1872</v>
          </cell>
          <cell r="S127" t="str">
            <v>35520.00</v>
          </cell>
          <cell r="T127" t="str">
            <v>32,365,114</v>
          </cell>
          <cell r="V127" t="str">
            <v>0.00</v>
          </cell>
          <cell r="W127">
            <v>0</v>
          </cell>
          <cell r="X127" t="str">
            <v>13200028-K</v>
          </cell>
          <cell r="Y127" t="str">
            <v>08-01-2026</v>
          </cell>
          <cell r="Z127" t="str">
            <v>SI</v>
          </cell>
          <cell r="AA127" t="str">
            <v>NO</v>
          </cell>
          <cell r="AB127" t="str">
            <v>06-08-2026</v>
          </cell>
          <cell r="AC127" t="str">
            <v>Sin Aprobar</v>
          </cell>
        </row>
        <row r="128">
          <cell r="A128">
            <v>325</v>
          </cell>
          <cell r="B128" t="str">
            <v>27-12-2025</v>
          </cell>
          <cell r="C128" t="str">
            <v>30-12-2025</v>
          </cell>
          <cell r="D128" t="str">
            <v>COSCO MALAYSIA</v>
          </cell>
          <cell r="E128" t="str">
            <v>MARITIMO</v>
          </cell>
          <cell r="F128" t="str">
            <v>YOGO</v>
          </cell>
          <cell r="G128" t="str">
            <v>CHENGDU RAILPORT EURASIA IMPORT AND EXPORT TRADE CO.,LTD.</v>
          </cell>
          <cell r="H128" t="str">
            <v>CEREZAS</v>
          </cell>
          <cell r="I128" t="str">
            <v>REGINA /</v>
          </cell>
          <cell r="J128" t="str">
            <v>ALMAHUE EXPORT</v>
          </cell>
          <cell r="K128" t="str">
            <v>CONS-LIBRE</v>
          </cell>
          <cell r="L128" t="str">
            <v>FOB</v>
          </cell>
          <cell r="M128" t="str">
            <v>3552</v>
          </cell>
          <cell r="N128" t="str">
            <v>100599.79</v>
          </cell>
          <cell r="O128" t="str">
            <v>9669.65</v>
          </cell>
          <cell r="P128" t="str">
            <v>0.00</v>
          </cell>
          <cell r="Q128" t="str">
            <v>71649.94</v>
          </cell>
          <cell r="R128">
            <v>1862</v>
          </cell>
          <cell r="S128" t="str">
            <v>35520.00</v>
          </cell>
          <cell r="T128" t="str">
            <v>32,365,114</v>
          </cell>
          <cell r="V128" t="str">
            <v>0.00</v>
          </cell>
          <cell r="W128">
            <v>0</v>
          </cell>
          <cell r="X128" t="str">
            <v>13200025-5</v>
          </cell>
          <cell r="Y128" t="str">
            <v>08-01-2026</v>
          </cell>
          <cell r="Z128" t="str">
            <v>SI</v>
          </cell>
          <cell r="AA128" t="str">
            <v>NO</v>
          </cell>
          <cell r="AB128" t="str">
            <v>06-08-2026</v>
          </cell>
          <cell r="AC128" t="str">
            <v>Sin Aprobar</v>
          </cell>
        </row>
        <row r="129">
          <cell r="A129">
            <v>324</v>
          </cell>
          <cell r="B129" t="str">
            <v>27-12-2025</v>
          </cell>
          <cell r="C129" t="str">
            <v>30-12-2025</v>
          </cell>
          <cell r="D129" t="str">
            <v>COSCO MALAYSIA</v>
          </cell>
          <cell r="E129" t="str">
            <v>MARITIMO</v>
          </cell>
          <cell r="F129" t="str">
            <v>KINGO</v>
          </cell>
          <cell r="G129" t="str">
            <v>KINGO SHANGHAI CO.,LTD.</v>
          </cell>
          <cell r="H129" t="str">
            <v>CEREZAS</v>
          </cell>
          <cell r="I129" t="str">
            <v>REGINA /</v>
          </cell>
          <cell r="J129" t="str">
            <v>ALMAHUE EXPORT</v>
          </cell>
          <cell r="K129" t="str">
            <v>CONS-LIBRE</v>
          </cell>
          <cell r="L129" t="str">
            <v>FOB</v>
          </cell>
          <cell r="M129" t="str">
            <v>3552</v>
          </cell>
          <cell r="N129" t="str">
            <v>684480.00</v>
          </cell>
          <cell r="O129" t="str">
            <v>68090.10</v>
          </cell>
          <cell r="P129" t="str">
            <v>0.00</v>
          </cell>
          <cell r="Q129" t="str">
            <v>493962.23</v>
          </cell>
          <cell r="R129">
            <v>1861</v>
          </cell>
          <cell r="S129" t="str">
            <v>35520.00</v>
          </cell>
          <cell r="T129" t="str">
            <v>32,365,114</v>
          </cell>
          <cell r="V129" t="str">
            <v>0.00</v>
          </cell>
          <cell r="W129">
            <v>0</v>
          </cell>
          <cell r="X129" t="str">
            <v>13200021-2</v>
          </cell>
          <cell r="Y129" t="str">
            <v>08-01-2026</v>
          </cell>
          <cell r="Z129" t="str">
            <v>SI</v>
          </cell>
          <cell r="AA129" t="str">
            <v>NO</v>
          </cell>
          <cell r="AB129" t="str">
            <v>06-08-2026</v>
          </cell>
          <cell r="AC129" t="str">
            <v>Sin Aprobar</v>
          </cell>
        </row>
        <row r="130">
          <cell r="A130">
            <v>323</v>
          </cell>
          <cell r="B130" t="str">
            <v>27-12-2025</v>
          </cell>
          <cell r="C130" t="str">
            <v>30-12-2025</v>
          </cell>
          <cell r="D130" t="str">
            <v>COSCO MALAYSIA</v>
          </cell>
          <cell r="E130" t="str">
            <v>MARITIMO</v>
          </cell>
          <cell r="F130" t="str">
            <v>FRUITJOY</v>
          </cell>
          <cell r="G130" t="str">
            <v>SHANGHAI HUI ZHAN INTERNATIONAL TRADE CO., LTD</v>
          </cell>
          <cell r="H130" t="str">
            <v>CEREZAS</v>
          </cell>
          <cell r="I130" t="str">
            <v>REGINA /</v>
          </cell>
          <cell r="J130" t="str">
            <v>ALMAHUE EXPORT</v>
          </cell>
          <cell r="K130" t="str">
            <v>CONS-LIBRE</v>
          </cell>
          <cell r="L130" t="str">
            <v>FOB</v>
          </cell>
          <cell r="M130" t="str">
            <v>3552</v>
          </cell>
          <cell r="N130" t="str">
            <v>118331.43</v>
          </cell>
          <cell r="O130" t="str">
            <v>9751.47</v>
          </cell>
          <cell r="P130" t="str">
            <v>0.00</v>
          </cell>
          <cell r="Q130" t="str">
            <v>85866.93</v>
          </cell>
          <cell r="R130">
            <v>1871</v>
          </cell>
          <cell r="S130" t="str">
            <v>35520.00</v>
          </cell>
          <cell r="T130" t="str">
            <v>32,365,114</v>
          </cell>
          <cell r="V130" t="str">
            <v>0.00</v>
          </cell>
          <cell r="W130">
            <v>0</v>
          </cell>
          <cell r="X130" t="str">
            <v>13197024-2</v>
          </cell>
          <cell r="Y130" t="str">
            <v>08-01-2026</v>
          </cell>
          <cell r="Z130" t="str">
            <v>SI</v>
          </cell>
          <cell r="AA130" t="str">
            <v>NO</v>
          </cell>
          <cell r="AB130" t="str">
            <v>06-08-2026</v>
          </cell>
          <cell r="AC130" t="str">
            <v>Sin Aprobar</v>
          </cell>
        </row>
        <row r="131">
          <cell r="A131">
            <v>322</v>
          </cell>
          <cell r="B131" t="str">
            <v>27-12-2025</v>
          </cell>
          <cell r="C131" t="str">
            <v>30-12-2025</v>
          </cell>
          <cell r="D131" t="str">
            <v>COSCO MALAYSIA</v>
          </cell>
          <cell r="E131" t="str">
            <v>MARITIMO</v>
          </cell>
          <cell r="F131" t="str">
            <v>DORLUNG</v>
          </cell>
          <cell r="G131" t="str">
            <v>SHENZHEN WEI CHENG LI DE TRADE CO.,LTD</v>
          </cell>
          <cell r="H131" t="str">
            <v>CEREZAS</v>
          </cell>
          <cell r="I131" t="str">
            <v>REGINA /</v>
          </cell>
          <cell r="J131" t="str">
            <v>ALMAHUE EXPORT</v>
          </cell>
          <cell r="K131" t="str">
            <v>CONS-LIBRE</v>
          </cell>
          <cell r="L131" t="str">
            <v>FOB</v>
          </cell>
          <cell r="M131" t="str">
            <v>3552</v>
          </cell>
          <cell r="N131" t="str">
            <v>98695.26</v>
          </cell>
          <cell r="O131" t="str">
            <v>9750.00</v>
          </cell>
          <cell r="P131" t="str">
            <v>0.00</v>
          </cell>
          <cell r="Q131" t="str">
            <v>69576.16</v>
          </cell>
          <cell r="R131">
            <v>1870</v>
          </cell>
          <cell r="S131" t="str">
            <v>35520.00</v>
          </cell>
          <cell r="T131" t="str">
            <v>32,365,114</v>
          </cell>
          <cell r="V131" t="str">
            <v>0.00</v>
          </cell>
          <cell r="W131">
            <v>0</v>
          </cell>
          <cell r="X131" t="str">
            <v>13196998-8</v>
          </cell>
          <cell r="Y131" t="str">
            <v>08-01-2026</v>
          </cell>
          <cell r="Z131" t="str">
            <v>SI</v>
          </cell>
          <cell r="AA131" t="str">
            <v>NO</v>
          </cell>
          <cell r="AB131" t="str">
            <v>06-08-2026</v>
          </cell>
          <cell r="AC131" t="str">
            <v>Sin Aprobar</v>
          </cell>
        </row>
        <row r="132">
          <cell r="A132">
            <v>321</v>
          </cell>
          <cell r="B132" t="str">
            <v>27-12-2025</v>
          </cell>
          <cell r="C132" t="str">
            <v>30-12-2025</v>
          </cell>
          <cell r="D132" t="str">
            <v>COSCO MALAYSIA</v>
          </cell>
          <cell r="E132" t="str">
            <v>MARITIMO</v>
          </cell>
          <cell r="F132" t="str">
            <v>SANGO</v>
          </cell>
          <cell r="G132" t="str">
            <v>ZHEJIANG OHENG IMPORT &amp; EXPORT CO.,LTD.</v>
          </cell>
          <cell r="H132" t="str">
            <v>CEREZAS</v>
          </cell>
          <cell r="I132" t="str">
            <v>REGINA /</v>
          </cell>
          <cell r="J132" t="str">
            <v>ALMAHUE EXPORT</v>
          </cell>
          <cell r="K132" t="str">
            <v>CONS-LIBRE</v>
          </cell>
          <cell r="L132" t="str">
            <v>FOB</v>
          </cell>
          <cell r="M132" t="str">
            <v>3552</v>
          </cell>
          <cell r="N132" t="str">
            <v>792800.00</v>
          </cell>
          <cell r="O132" t="str">
            <v>68271.03</v>
          </cell>
          <cell r="P132" t="str">
            <v>0.00</v>
          </cell>
          <cell r="Q132" t="str">
            <v>598293.16</v>
          </cell>
          <cell r="R132">
            <v>1860</v>
          </cell>
          <cell r="S132" t="str">
            <v>35520.00</v>
          </cell>
          <cell r="T132" t="str">
            <v>32,365,114</v>
          </cell>
          <cell r="V132" t="str">
            <v>0.00</v>
          </cell>
          <cell r="W132">
            <v>0</v>
          </cell>
          <cell r="X132" t="str">
            <v>13196883-3</v>
          </cell>
          <cell r="Y132" t="str">
            <v>08-01-2026</v>
          </cell>
          <cell r="Z132" t="str">
            <v>SI</v>
          </cell>
          <cell r="AA132" t="str">
            <v>NO</v>
          </cell>
          <cell r="AB132" t="str">
            <v>06-08-2026</v>
          </cell>
          <cell r="AC132" t="str">
            <v>Sin Aprobar</v>
          </cell>
        </row>
        <row r="133">
          <cell r="A133">
            <v>320</v>
          </cell>
          <cell r="B133" t="str">
            <v>27-12-2025</v>
          </cell>
          <cell r="C133" t="str">
            <v>30-12-2025</v>
          </cell>
          <cell r="D133" t="str">
            <v>COSCO MALAYSIA</v>
          </cell>
          <cell r="E133" t="str">
            <v>MARITIMO</v>
          </cell>
          <cell r="F133" t="str">
            <v>HUASHENG</v>
          </cell>
          <cell r="G133" t="str">
            <v>CHUN WAN YI (GUANGZHOU) SUPPLY CHAIN MANAGEMENT CO., LTD</v>
          </cell>
          <cell r="H133" t="str">
            <v>CEREZAS</v>
          </cell>
          <cell r="I133" t="str">
            <v>REGINA /</v>
          </cell>
          <cell r="J133" t="str">
            <v>ALMAHUE EXPORT</v>
          </cell>
          <cell r="K133" t="str">
            <v>CONS-LIBRE</v>
          </cell>
          <cell r="L133" t="str">
            <v>FOB</v>
          </cell>
          <cell r="M133" t="str">
            <v>3552</v>
          </cell>
          <cell r="N133" t="str">
            <v>101259.30</v>
          </cell>
          <cell r="O133" t="str">
            <v>9568.16</v>
          </cell>
          <cell r="P133" t="str">
            <v>0.00</v>
          </cell>
          <cell r="Q133" t="str">
            <v>75004.39</v>
          </cell>
          <cell r="R133">
            <v>1859</v>
          </cell>
          <cell r="S133" t="str">
            <v>35520.00</v>
          </cell>
          <cell r="T133" t="str">
            <v>32,365,114</v>
          </cell>
          <cell r="V133" t="str">
            <v>0.00</v>
          </cell>
          <cell r="W133">
            <v>0</v>
          </cell>
          <cell r="X133" t="str">
            <v>13196935-K</v>
          </cell>
          <cell r="Y133" t="str">
            <v>08-01-2026</v>
          </cell>
          <cell r="Z133" t="str">
            <v>SI</v>
          </cell>
          <cell r="AA133" t="str">
            <v>NO</v>
          </cell>
          <cell r="AB133" t="str">
            <v>06-08-2026</v>
          </cell>
          <cell r="AC133" t="str">
            <v>Sin Aprobar</v>
          </cell>
        </row>
        <row r="134">
          <cell r="A134">
            <v>319</v>
          </cell>
          <cell r="B134" t="str">
            <v>27-12-2025</v>
          </cell>
          <cell r="C134" t="str">
            <v>30-12-2025</v>
          </cell>
          <cell r="D134" t="str">
            <v>COSCO MALAYSIA</v>
          </cell>
          <cell r="E134" t="str">
            <v>MARITIMO</v>
          </cell>
          <cell r="F134" t="str">
            <v>YUERUN TRADING</v>
          </cell>
          <cell r="G134" t="str">
            <v>SHENZHEN FANYA XIANSHIHUI CO.,LTD</v>
          </cell>
          <cell r="H134" t="str">
            <v>CEREZAS</v>
          </cell>
          <cell r="I134" t="str">
            <v>REGINA /</v>
          </cell>
          <cell r="J134" t="str">
            <v>ALMAHUE EXPORT</v>
          </cell>
          <cell r="K134" t="str">
            <v>CONS-LIBRE</v>
          </cell>
          <cell r="L134" t="str">
            <v>FOB</v>
          </cell>
          <cell r="M134" t="str">
            <v>3552</v>
          </cell>
          <cell r="N134" t="str">
            <v>653450.00</v>
          </cell>
          <cell r="O134" t="str">
            <v>68384.55</v>
          </cell>
          <cell r="P134" t="str">
            <v>0.00</v>
          </cell>
          <cell r="Q134" t="str">
            <v>444369.69</v>
          </cell>
          <cell r="R134">
            <v>1869</v>
          </cell>
          <cell r="S134" t="str">
            <v>35520.00</v>
          </cell>
          <cell r="T134" t="str">
            <v>32,365,114</v>
          </cell>
          <cell r="V134" t="str">
            <v>0.00</v>
          </cell>
          <cell r="W134">
            <v>0</v>
          </cell>
          <cell r="X134" t="str">
            <v>13196831-0</v>
          </cell>
          <cell r="Y134" t="str">
            <v>08-01-2026</v>
          </cell>
          <cell r="Z134" t="str">
            <v>SI</v>
          </cell>
          <cell r="AA134" t="str">
            <v>NO</v>
          </cell>
          <cell r="AB134" t="str">
            <v>06-08-2026</v>
          </cell>
          <cell r="AC134" t="str">
            <v>Sin Aprobar</v>
          </cell>
        </row>
        <row r="135">
          <cell r="A135">
            <v>318</v>
          </cell>
          <cell r="B135" t="str">
            <v>26-12-2025</v>
          </cell>
          <cell r="C135" t="str">
            <v>30-12-2025</v>
          </cell>
          <cell r="D135" t="str">
            <v>COSCO MALAYSIA</v>
          </cell>
          <cell r="E135" t="str">
            <v>MARITIMO</v>
          </cell>
          <cell r="F135" t="str">
            <v>WUHAN CCMAX FRUITS CO., LTD</v>
          </cell>
          <cell r="G135" t="str">
            <v>SHANGHAI HUI ZHAN INTERNATIONAL TRADE CO., LTD</v>
          </cell>
          <cell r="H135" t="str">
            <v>CEREZAS</v>
          </cell>
          <cell r="I135" t="str">
            <v>REGINA / SKEENA /</v>
          </cell>
          <cell r="J135" t="str">
            <v>ALMAHUE EXPORT</v>
          </cell>
          <cell r="K135" t="str">
            <v>CONS-LIBRE</v>
          </cell>
          <cell r="L135" t="str">
            <v>FOB</v>
          </cell>
          <cell r="M135" t="str">
            <v>3552</v>
          </cell>
          <cell r="N135" t="str">
            <v>82647.07</v>
          </cell>
          <cell r="O135" t="str">
            <v>9998.62</v>
          </cell>
          <cell r="P135" t="str">
            <v>0.00</v>
          </cell>
          <cell r="Q135" t="str">
            <v>57528.86</v>
          </cell>
          <cell r="R135">
            <v>1868</v>
          </cell>
          <cell r="S135" t="str">
            <v>35520.00</v>
          </cell>
          <cell r="T135" t="str">
            <v>32,365,114</v>
          </cell>
          <cell r="V135" t="str">
            <v>0.00</v>
          </cell>
          <cell r="W135">
            <v>0</v>
          </cell>
          <cell r="X135" t="str">
            <v>13196800-0</v>
          </cell>
          <cell r="Y135" t="str">
            <v>08-01-2026</v>
          </cell>
          <cell r="Z135" t="str">
            <v>SI</v>
          </cell>
          <cell r="AA135" t="str">
            <v>NO</v>
          </cell>
          <cell r="AB135" t="str">
            <v>06-08-2026</v>
          </cell>
          <cell r="AC135" t="str">
            <v>Sin Aprobar</v>
          </cell>
        </row>
        <row r="136">
          <cell r="A136">
            <v>317</v>
          </cell>
          <cell r="B136" t="str">
            <v>26-12-2025</v>
          </cell>
          <cell r="C136" t="str">
            <v>30-12-2025</v>
          </cell>
          <cell r="D136" t="str">
            <v>COSCO MALAYSIA</v>
          </cell>
          <cell r="E136" t="str">
            <v>MARITIMO</v>
          </cell>
          <cell r="F136" t="str">
            <v>YOGO</v>
          </cell>
          <cell r="G136" t="str">
            <v>CHENGDU RAILPORT EURASIA IMPORT AND EXPORT TRADE CO.,LTD.</v>
          </cell>
          <cell r="H136" t="str">
            <v>CEREZAS</v>
          </cell>
          <cell r="I136" t="str">
            <v>REGINA /</v>
          </cell>
          <cell r="J136" t="str">
            <v>ALMAHUE EXPORT</v>
          </cell>
          <cell r="K136" t="str">
            <v>CONS-LIBRE</v>
          </cell>
          <cell r="L136" t="str">
            <v>FOB</v>
          </cell>
          <cell r="M136" t="str">
            <v>3560</v>
          </cell>
          <cell r="N136" t="str">
            <v>75097.59</v>
          </cell>
          <cell r="O136" t="str">
            <v>9669.65</v>
          </cell>
          <cell r="P136" t="str">
            <v>0.00</v>
          </cell>
          <cell r="Q136" t="str">
            <v>50097.70</v>
          </cell>
          <cell r="R136">
            <v>1858</v>
          </cell>
          <cell r="S136" t="str">
            <v>35600.00</v>
          </cell>
          <cell r="T136" t="str">
            <v>32,438,008</v>
          </cell>
          <cell r="V136" t="str">
            <v>0.00</v>
          </cell>
          <cell r="W136">
            <v>0</v>
          </cell>
          <cell r="X136" t="str">
            <v>13196032-8</v>
          </cell>
          <cell r="Y136" t="str">
            <v>08-01-2026</v>
          </cell>
          <cell r="Z136" t="str">
            <v>SI</v>
          </cell>
          <cell r="AA136" t="str">
            <v>NO</v>
          </cell>
          <cell r="AB136" t="str">
            <v>06-08-2026</v>
          </cell>
          <cell r="AC136" t="str">
            <v>Sin Aprobar</v>
          </cell>
        </row>
        <row r="137">
          <cell r="A137">
            <v>316</v>
          </cell>
          <cell r="B137" t="str">
            <v>26-12-2025</v>
          </cell>
          <cell r="C137" t="str">
            <v>30-12-2025</v>
          </cell>
          <cell r="D137" t="str">
            <v>COSCO MALAYSIA</v>
          </cell>
          <cell r="E137" t="str">
            <v>MARITIMO</v>
          </cell>
          <cell r="F137" t="str">
            <v>KINGO</v>
          </cell>
          <cell r="G137" t="str">
            <v>KINGO SHANGHAI CO.,LTD.</v>
          </cell>
          <cell r="H137" t="str">
            <v>CEREZAS</v>
          </cell>
          <cell r="I137" t="str">
            <v>REGINA /</v>
          </cell>
          <cell r="J137" t="str">
            <v>ALMAHUE EXPORT</v>
          </cell>
          <cell r="K137" t="str">
            <v>CONS-LIBRE</v>
          </cell>
          <cell r="L137" t="str">
            <v>FOB</v>
          </cell>
          <cell r="M137" t="str">
            <v>3552</v>
          </cell>
          <cell r="N137" t="str">
            <v>628500.54</v>
          </cell>
          <cell r="O137" t="str">
            <v>68090.10</v>
          </cell>
          <cell r="P137" t="str">
            <v>0.00</v>
          </cell>
          <cell r="Q137" t="str">
            <v>446782.90</v>
          </cell>
          <cell r="R137">
            <v>1857</v>
          </cell>
          <cell r="S137" t="str">
            <v>35520.00</v>
          </cell>
          <cell r="T137" t="str">
            <v>32,365,114</v>
          </cell>
          <cell r="V137" t="str">
            <v>0.00</v>
          </cell>
          <cell r="W137">
            <v>0</v>
          </cell>
          <cell r="X137" t="str">
            <v>13195994-K</v>
          </cell>
          <cell r="Y137" t="str">
            <v>08-01-2026</v>
          </cell>
          <cell r="Z137" t="str">
            <v>SI</v>
          </cell>
          <cell r="AA137" t="str">
            <v>NO</v>
          </cell>
          <cell r="AB137" t="str">
            <v>06-08-2026</v>
          </cell>
          <cell r="AC137" t="str">
            <v>Sin Aprobar</v>
          </cell>
        </row>
        <row r="138">
          <cell r="A138">
            <v>315</v>
          </cell>
          <cell r="B138" t="str">
            <v>26-12-2025</v>
          </cell>
          <cell r="C138" t="str">
            <v>30-12-2025</v>
          </cell>
          <cell r="D138" t="str">
            <v>COSCO MALAYSIA</v>
          </cell>
          <cell r="E138" t="str">
            <v>MARITIMO</v>
          </cell>
          <cell r="F138" t="str">
            <v>FRUITJOY</v>
          </cell>
          <cell r="G138" t="str">
            <v>SHANGHAI HUI ZHAN INTERNATIONAL TRADE CO., LTD</v>
          </cell>
          <cell r="H138" t="str">
            <v>CEREZAS</v>
          </cell>
          <cell r="I138" t="str">
            <v>REGINA /</v>
          </cell>
          <cell r="J138" t="str">
            <v>ALMAHUE EXPORT</v>
          </cell>
          <cell r="K138" t="str">
            <v>CONS-LIBRE</v>
          </cell>
          <cell r="L138" t="str">
            <v>FOB</v>
          </cell>
          <cell r="M138" t="str">
            <v>3536</v>
          </cell>
          <cell r="N138" t="str">
            <v>91678.31</v>
          </cell>
          <cell r="O138" t="str">
            <v>9737.56</v>
          </cell>
          <cell r="P138" t="str">
            <v>0.00</v>
          </cell>
          <cell r="Q138" t="str">
            <v>64173.79</v>
          </cell>
          <cell r="R138">
            <v>1867</v>
          </cell>
          <cell r="S138" t="str">
            <v>35360.00</v>
          </cell>
          <cell r="T138" t="str">
            <v>32,219,325</v>
          </cell>
          <cell r="V138" t="str">
            <v>0.00</v>
          </cell>
          <cell r="W138">
            <v>0</v>
          </cell>
          <cell r="X138" t="str">
            <v>13195984-2</v>
          </cell>
          <cell r="Y138" t="str">
            <v>08-01-2026</v>
          </cell>
          <cell r="Z138" t="str">
            <v>SI</v>
          </cell>
          <cell r="AA138" t="str">
            <v>NO</v>
          </cell>
          <cell r="AB138" t="str">
            <v>06-08-2026</v>
          </cell>
          <cell r="AC138" t="str">
            <v>Sin Aprobar</v>
          </cell>
        </row>
        <row r="139">
          <cell r="A139">
            <v>314</v>
          </cell>
          <cell r="B139" t="str">
            <v>24-12-2025</v>
          </cell>
          <cell r="C139" t="str">
            <v>28-12-2025</v>
          </cell>
          <cell r="D139" t="str">
            <v>MSC JAPAN III</v>
          </cell>
          <cell r="E139" t="str">
            <v>MARITIMO</v>
          </cell>
          <cell r="F139" t="str">
            <v>FRUITJOY</v>
          </cell>
          <cell r="G139" t="str">
            <v>SHANGHAI HUI ZHAN INTERNATIONAL TRADE CO., LTD</v>
          </cell>
          <cell r="H139" t="str">
            <v>CEREZAS</v>
          </cell>
          <cell r="I139" t="str">
            <v>REGINA /</v>
          </cell>
          <cell r="J139" t="str">
            <v>ALMAHUE EXPORT</v>
          </cell>
          <cell r="K139" t="str">
            <v>CONS-LIBRE</v>
          </cell>
          <cell r="L139" t="str">
            <v>FOB</v>
          </cell>
          <cell r="M139" t="str">
            <v>3520</v>
          </cell>
          <cell r="N139" t="str">
            <v>89504.32</v>
          </cell>
          <cell r="O139" t="str">
            <v>9956.00</v>
          </cell>
          <cell r="P139" t="str">
            <v>0.00</v>
          </cell>
          <cell r="Q139" t="str">
            <v>62153.34</v>
          </cell>
          <cell r="R139">
            <v>1852</v>
          </cell>
          <cell r="S139" t="str">
            <v>35200.00</v>
          </cell>
          <cell r="T139" t="str">
            <v>31,857,408</v>
          </cell>
          <cell r="V139" t="str">
            <v>0.00</v>
          </cell>
          <cell r="W139">
            <v>0</v>
          </cell>
          <cell r="X139" t="str">
            <v>13190716-8</v>
          </cell>
          <cell r="Y139" t="str">
            <v>06-01-2026</v>
          </cell>
          <cell r="Z139" t="str">
            <v>SI</v>
          </cell>
          <cell r="AA139" t="str">
            <v>NO</v>
          </cell>
          <cell r="AB139" t="str">
            <v>04-08-2026</v>
          </cell>
          <cell r="AC139" t="str">
            <v>Sin Aprobar</v>
          </cell>
        </row>
        <row r="140">
          <cell r="A140">
            <v>313</v>
          </cell>
          <cell r="B140" t="str">
            <v>24-12-2025</v>
          </cell>
          <cell r="C140" t="str">
            <v>28-12-2025</v>
          </cell>
          <cell r="D140" t="str">
            <v>MSC JAPAN III</v>
          </cell>
          <cell r="E140" t="str">
            <v>MARITIMO</v>
          </cell>
          <cell r="F140" t="str">
            <v>YOGO</v>
          </cell>
          <cell r="G140" t="str">
            <v>CHENGDU RAILPORT EURASIA IMPORT AND EXPORT TRADE CO.,LTD.</v>
          </cell>
          <cell r="H140" t="str">
            <v>CEREZAS</v>
          </cell>
          <cell r="I140" t="str">
            <v>REGINA /</v>
          </cell>
          <cell r="J140" t="str">
            <v>ALMAHUE EXPORT</v>
          </cell>
          <cell r="K140" t="str">
            <v>CONS-LIBRE</v>
          </cell>
          <cell r="L140" t="str">
            <v>FOB</v>
          </cell>
          <cell r="M140" t="str">
            <v>3568</v>
          </cell>
          <cell r="N140" t="str">
            <v>85923.84</v>
          </cell>
          <cell r="O140" t="str">
            <v>9901.86</v>
          </cell>
          <cell r="P140" t="str">
            <v>0.00</v>
          </cell>
          <cell r="Q140" t="str">
            <v>59552.51</v>
          </cell>
          <cell r="R140">
            <v>1856</v>
          </cell>
          <cell r="S140" t="str">
            <v>35680.00</v>
          </cell>
          <cell r="T140" t="str">
            <v>32,291,827</v>
          </cell>
          <cell r="V140" t="str">
            <v>0.00</v>
          </cell>
          <cell r="W140">
            <v>0</v>
          </cell>
          <cell r="X140" t="str">
            <v>13190675-7</v>
          </cell>
          <cell r="Y140" t="str">
            <v>06-01-2026</v>
          </cell>
          <cell r="Z140" t="str">
            <v>SI</v>
          </cell>
          <cell r="AA140" t="str">
            <v>NO</v>
          </cell>
          <cell r="AB140" t="str">
            <v>04-08-2026</v>
          </cell>
          <cell r="AC140" t="str">
            <v>Sin Aprobar</v>
          </cell>
        </row>
        <row r="141">
          <cell r="A141">
            <v>312</v>
          </cell>
          <cell r="B141" t="str">
            <v>26-12-2025</v>
          </cell>
          <cell r="C141" t="str">
            <v>31-12-2025</v>
          </cell>
          <cell r="D141" t="str">
            <v>MSC ATHENS</v>
          </cell>
          <cell r="E141" t="str">
            <v>MARITIMO</v>
          </cell>
          <cell r="F141" t="str">
            <v>HING LEE</v>
          </cell>
          <cell r="G141" t="str">
            <v>SHENZHEN JINSHUN'AN INTERNATIONAL FREIGHT FORWARDING CO.,LTD</v>
          </cell>
          <cell r="H141" t="str">
            <v>CEREZAS</v>
          </cell>
          <cell r="I141" t="str">
            <v>REGINA /</v>
          </cell>
          <cell r="J141" t="str">
            <v>ALMAHUE EXPORT</v>
          </cell>
          <cell r="K141" t="str">
            <v>CONS-LIBRE</v>
          </cell>
          <cell r="L141" t="str">
            <v>FOB</v>
          </cell>
          <cell r="M141" t="str">
            <v>3552</v>
          </cell>
          <cell r="N141" t="str">
            <v>123926.94</v>
          </cell>
          <cell r="O141" t="str">
            <v>10153.34</v>
          </cell>
          <cell r="P141" t="str">
            <v>0.00</v>
          </cell>
          <cell r="Q141" t="str">
            <v>90853.20</v>
          </cell>
          <cell r="R141">
            <v>1877</v>
          </cell>
          <cell r="S141" t="str">
            <v>35520.00</v>
          </cell>
          <cell r="T141" t="str">
            <v>32,365,114</v>
          </cell>
          <cell r="V141" t="str">
            <v>0.00</v>
          </cell>
          <cell r="W141">
            <v>0</v>
          </cell>
          <cell r="X141" t="str">
            <v>13196035-2</v>
          </cell>
          <cell r="Y141" t="str">
            <v>08-01-2026</v>
          </cell>
          <cell r="Z141" t="str">
            <v>SI</v>
          </cell>
          <cell r="AA141" t="str">
            <v>NO</v>
          </cell>
          <cell r="AB141" t="str">
            <v>06-08-2026</v>
          </cell>
          <cell r="AC141" t="str">
            <v>Sin Aprobar</v>
          </cell>
        </row>
        <row r="142">
          <cell r="A142">
            <v>311</v>
          </cell>
          <cell r="B142" t="str">
            <v>24-12-2025</v>
          </cell>
          <cell r="C142" t="str">
            <v>28-12-2025</v>
          </cell>
          <cell r="D142" t="str">
            <v>MSC JAPAN III</v>
          </cell>
          <cell r="E142" t="str">
            <v>MARITIMO</v>
          </cell>
          <cell r="F142" t="str">
            <v>XINGWAN</v>
          </cell>
          <cell r="G142" t="str">
            <v>ZHEJIANG OHENG IMPORT &amp; EXPORT CO.,LTD.</v>
          </cell>
          <cell r="H142" t="str">
            <v>CEREZAS</v>
          </cell>
          <cell r="I142" t="str">
            <v>REGINA /</v>
          </cell>
          <cell r="J142" t="str">
            <v>ALMAHUE EXPORT</v>
          </cell>
          <cell r="K142" t="str">
            <v>CONS-LIBRE</v>
          </cell>
          <cell r="L142" t="str">
            <v>FOB</v>
          </cell>
          <cell r="M142" t="str">
            <v>3552</v>
          </cell>
          <cell r="N142" t="str">
            <v>684930.32</v>
          </cell>
          <cell r="O142" t="str">
            <v>69908.08</v>
          </cell>
          <cell r="P142" t="str">
            <v>0.00</v>
          </cell>
          <cell r="Q142" t="str">
            <v>493931.72</v>
          </cell>
          <cell r="R142">
            <v>1855</v>
          </cell>
          <cell r="S142" t="str">
            <v>35520.00</v>
          </cell>
          <cell r="T142" t="str">
            <v>32,147,021</v>
          </cell>
          <cell r="V142" t="str">
            <v>0.00</v>
          </cell>
          <cell r="W142">
            <v>0</v>
          </cell>
          <cell r="X142" t="str">
            <v>13190536-K</v>
          </cell>
          <cell r="Y142" t="str">
            <v>06-01-2026</v>
          </cell>
          <cell r="Z142" t="str">
            <v>SI</v>
          </cell>
          <cell r="AA142" t="str">
            <v>NO</v>
          </cell>
          <cell r="AB142" t="str">
            <v>04-08-2026</v>
          </cell>
          <cell r="AC142" t="str">
            <v>Sin Aprobar</v>
          </cell>
        </row>
        <row r="143">
          <cell r="A143">
            <v>310</v>
          </cell>
          <cell r="B143" t="str">
            <v>24-12-2025</v>
          </cell>
          <cell r="C143" t="str">
            <v>28-12-2025</v>
          </cell>
          <cell r="D143" t="str">
            <v>MSC JAPAN III</v>
          </cell>
          <cell r="E143" t="str">
            <v>MARITIMO</v>
          </cell>
          <cell r="F143" t="str">
            <v>KINGO</v>
          </cell>
          <cell r="G143" t="str">
            <v>KINGO SHANGHAI CO.,LTD.</v>
          </cell>
          <cell r="H143" t="str">
            <v>CEREZAS</v>
          </cell>
          <cell r="I143" t="str">
            <v>REGINA /</v>
          </cell>
          <cell r="J143" t="str">
            <v>ALMAHUE EXPORT</v>
          </cell>
          <cell r="K143" t="str">
            <v>CONS-LIBRE</v>
          </cell>
          <cell r="L143" t="str">
            <v>FOB</v>
          </cell>
          <cell r="M143" t="str">
            <v>3552</v>
          </cell>
          <cell r="N143" t="str">
            <v>623680.00</v>
          </cell>
          <cell r="O143" t="str">
            <v>69660.41</v>
          </cell>
          <cell r="P143" t="str">
            <v>0.00</v>
          </cell>
          <cell r="Q143" t="str">
            <v>444007.52</v>
          </cell>
          <cell r="R143">
            <v>1854</v>
          </cell>
          <cell r="S143" t="str">
            <v>35520.00</v>
          </cell>
          <cell r="T143" t="str">
            <v>32,147,021</v>
          </cell>
          <cell r="V143" t="str">
            <v>0.00</v>
          </cell>
          <cell r="W143">
            <v>0</v>
          </cell>
          <cell r="X143" t="str">
            <v>13190486-K</v>
          </cell>
          <cell r="Y143" t="str">
            <v>06-01-2026</v>
          </cell>
          <cell r="Z143" t="str">
            <v>SI</v>
          </cell>
          <cell r="AA143" t="str">
            <v>NO</v>
          </cell>
          <cell r="AB143" t="str">
            <v>04-08-2026</v>
          </cell>
          <cell r="AC143" t="str">
            <v>Sin Aprobar</v>
          </cell>
        </row>
        <row r="144">
          <cell r="A144">
            <v>309</v>
          </cell>
          <cell r="B144" t="str">
            <v>24-12-2025</v>
          </cell>
          <cell r="C144" t="str">
            <v>28-12-2025</v>
          </cell>
          <cell r="D144" t="str">
            <v>MSC JAPAN III</v>
          </cell>
          <cell r="E144" t="str">
            <v>MARITIMO</v>
          </cell>
          <cell r="F144" t="str">
            <v>SANGO</v>
          </cell>
          <cell r="G144" t="str">
            <v>ZHEJIANG OHENG IMPORT &amp; EXPORT CO.,LTD.</v>
          </cell>
          <cell r="H144" t="str">
            <v>CEREZAS</v>
          </cell>
          <cell r="I144" t="str">
            <v>LAPINS / REGINA /</v>
          </cell>
          <cell r="J144" t="str">
            <v>ALMAHUE EXPORT</v>
          </cell>
          <cell r="K144" t="str">
            <v>CONS-LIBRE</v>
          </cell>
          <cell r="L144" t="str">
            <v>FOB</v>
          </cell>
          <cell r="M144" t="str">
            <v>3552</v>
          </cell>
          <cell r="N144" t="str">
            <v>676640.00</v>
          </cell>
          <cell r="O144" t="str">
            <v>69908.08</v>
          </cell>
          <cell r="P144" t="str">
            <v>0.00</v>
          </cell>
          <cell r="Q144" t="str">
            <v>497780.57</v>
          </cell>
          <cell r="R144">
            <v>1853</v>
          </cell>
          <cell r="S144" t="str">
            <v>35520.00</v>
          </cell>
          <cell r="T144" t="str">
            <v>32,147,021</v>
          </cell>
          <cell r="V144" t="str">
            <v>0.00</v>
          </cell>
          <cell r="W144">
            <v>0</v>
          </cell>
          <cell r="X144" t="str">
            <v>13190364-2</v>
          </cell>
          <cell r="Y144" t="str">
            <v>06-01-2026</v>
          </cell>
          <cell r="Z144" t="str">
            <v>SI</v>
          </cell>
          <cell r="AA144" t="str">
            <v>NO</v>
          </cell>
          <cell r="AB144" t="str">
            <v>04-08-2026</v>
          </cell>
          <cell r="AC144" t="str">
            <v>Sin Aprobar</v>
          </cell>
        </row>
        <row r="145">
          <cell r="A145">
            <v>308</v>
          </cell>
          <cell r="B145" t="str">
            <v>23-12-2025</v>
          </cell>
          <cell r="C145" t="str">
            <v>28-12-2025</v>
          </cell>
          <cell r="D145" t="str">
            <v>HUMBOLDT EXPRESS</v>
          </cell>
          <cell r="E145" t="str">
            <v>MARITIMO</v>
          </cell>
          <cell r="F145" t="str">
            <v>HING LEE</v>
          </cell>
          <cell r="G145" t="str">
            <v>SHENZHEN JINSHUN'AN INTERNATIONAL FREIGHT FORWARDING CO.,LTD</v>
          </cell>
          <cell r="H145" t="str">
            <v>CEREZAS</v>
          </cell>
          <cell r="I145" t="str">
            <v>REGINA /</v>
          </cell>
          <cell r="J145" t="str">
            <v>ALMAHUE EXPORT</v>
          </cell>
          <cell r="K145" t="str">
            <v>CONS-LIBRE</v>
          </cell>
          <cell r="L145" t="str">
            <v>FOB</v>
          </cell>
          <cell r="M145" t="str">
            <v>3560</v>
          </cell>
          <cell r="N145" t="str">
            <v>91196.17</v>
          </cell>
          <cell r="O145" t="str">
            <v>10441.14</v>
          </cell>
          <cell r="P145" t="str">
            <v>0.00</v>
          </cell>
          <cell r="Q145" t="str">
            <v>59768.58</v>
          </cell>
          <cell r="R145">
            <v>1850</v>
          </cell>
          <cell r="S145" t="str">
            <v>35600.00</v>
          </cell>
          <cell r="T145" t="str">
            <v>32,219,424</v>
          </cell>
          <cell r="V145" t="str">
            <v>0.00</v>
          </cell>
          <cell r="W145">
            <v>0</v>
          </cell>
          <cell r="X145" t="str">
            <v>13190065-1</v>
          </cell>
          <cell r="Y145" t="str">
            <v>05-01-2026</v>
          </cell>
          <cell r="Z145" t="str">
            <v>SI</v>
          </cell>
          <cell r="AA145" t="str">
            <v>NO</v>
          </cell>
          <cell r="AB145" t="str">
            <v>03-08-2026</v>
          </cell>
          <cell r="AC145" t="str">
            <v>Sin Aprobar</v>
          </cell>
        </row>
        <row r="146">
          <cell r="A146">
            <v>307</v>
          </cell>
          <cell r="B146" t="str">
            <v>23-12-2025</v>
          </cell>
          <cell r="C146" t="str">
            <v>28-12-2025</v>
          </cell>
          <cell r="D146" t="str">
            <v>HUMBOLDT EXPRESS</v>
          </cell>
          <cell r="E146" t="str">
            <v>MARITIMO</v>
          </cell>
          <cell r="F146" t="str">
            <v>WUHAN CCMAX FRUITS CO., LTD</v>
          </cell>
          <cell r="G146" t="str">
            <v>SHANGHAI HUI ZHAN INTERNATIONAL TRADE CO., LTD</v>
          </cell>
          <cell r="H146" t="str">
            <v>CEREZAS</v>
          </cell>
          <cell r="I146" t="str">
            <v>REGINA /</v>
          </cell>
          <cell r="J146" t="str">
            <v>ALMAHUE EXPORT</v>
          </cell>
          <cell r="K146" t="str">
            <v>CONS-LIBRE</v>
          </cell>
          <cell r="L146" t="str">
            <v>FOB</v>
          </cell>
          <cell r="M146" t="str">
            <v>3520</v>
          </cell>
          <cell r="N146" t="str">
            <v>115676.70</v>
          </cell>
          <cell r="O146" t="str">
            <v>9942.62</v>
          </cell>
          <cell r="P146" t="str">
            <v>0.00</v>
          </cell>
          <cell r="Q146" t="str">
            <v>84948.03</v>
          </cell>
          <cell r="R146">
            <v>1849</v>
          </cell>
          <cell r="S146" t="str">
            <v>35200.00</v>
          </cell>
          <cell r="T146" t="str">
            <v>31,857,408</v>
          </cell>
          <cell r="V146" t="str">
            <v>0.00</v>
          </cell>
          <cell r="W146">
            <v>0</v>
          </cell>
          <cell r="X146" t="str">
            <v>13190020-1</v>
          </cell>
          <cell r="Y146" t="str">
            <v>05-01-2026</v>
          </cell>
          <cell r="Z146" t="str">
            <v>SI</v>
          </cell>
          <cell r="AA146" t="str">
            <v>NO</v>
          </cell>
          <cell r="AB146" t="str">
            <v>03-08-2026</v>
          </cell>
          <cell r="AC146" t="str">
            <v>Sin Aprobar</v>
          </cell>
        </row>
        <row r="147">
          <cell r="A147">
            <v>306</v>
          </cell>
          <cell r="B147" t="str">
            <v>23-12-2025</v>
          </cell>
          <cell r="C147" t="str">
            <v>28-12-2025</v>
          </cell>
          <cell r="D147" t="str">
            <v>HUMBOLDT EXPRESS</v>
          </cell>
          <cell r="E147" t="str">
            <v>MARITIMO</v>
          </cell>
          <cell r="F147" t="str">
            <v>CHEN SUN</v>
          </cell>
          <cell r="G147" t="str">
            <v>LUSHANG INTERNATIONAL TRADE CO., LTD.</v>
          </cell>
          <cell r="H147" t="str">
            <v>CEREZAS</v>
          </cell>
          <cell r="I147" t="str">
            <v>REGINA /</v>
          </cell>
          <cell r="J147" t="str">
            <v>ALMAHUE EXPORT</v>
          </cell>
          <cell r="K147" t="str">
            <v>CONS-LIBRE</v>
          </cell>
          <cell r="L147" t="str">
            <v>FOB</v>
          </cell>
          <cell r="M147" t="str">
            <v>3560</v>
          </cell>
          <cell r="N147" t="str">
            <v>654220.68</v>
          </cell>
          <cell r="O147" t="str">
            <v>66865.00</v>
          </cell>
          <cell r="P147" t="str">
            <v>0.00</v>
          </cell>
          <cell r="Q147" t="str">
            <v>442215.23</v>
          </cell>
          <cell r="R147">
            <v>1847</v>
          </cell>
          <cell r="S147" t="str">
            <v>35600.00</v>
          </cell>
          <cell r="T147" t="str">
            <v>32,219,424</v>
          </cell>
          <cell r="V147" t="str">
            <v>0.00</v>
          </cell>
          <cell r="W147">
            <v>0</v>
          </cell>
          <cell r="X147" t="str">
            <v>13189955-6</v>
          </cell>
          <cell r="Y147" t="str">
            <v>05-01-2026</v>
          </cell>
          <cell r="Z147" t="str">
            <v>SI</v>
          </cell>
          <cell r="AA147" t="str">
            <v>NO</v>
          </cell>
          <cell r="AB147" t="str">
            <v>03-08-2026</v>
          </cell>
          <cell r="AC147" t="str">
            <v>Sin Aprobar</v>
          </cell>
        </row>
        <row r="148">
          <cell r="A148">
            <v>305</v>
          </cell>
          <cell r="B148" t="str">
            <v>23-12-2025</v>
          </cell>
          <cell r="C148" t="str">
            <v>28-12-2025</v>
          </cell>
          <cell r="D148" t="str">
            <v>HUMBOLDT EXPRESS</v>
          </cell>
          <cell r="E148" t="str">
            <v>MARITIMO</v>
          </cell>
          <cell r="F148" t="str">
            <v>SUNHOLA</v>
          </cell>
          <cell r="G148" t="str">
            <v>HUBEI SHOUHENG SUPPLY CHAIN MANAGEMENT CO. , LTD</v>
          </cell>
          <cell r="H148" t="str">
            <v>CEREZAS</v>
          </cell>
          <cell r="I148" t="str">
            <v>REGINA /</v>
          </cell>
          <cell r="J148" t="str">
            <v>ALMAHUE EXPORT</v>
          </cell>
          <cell r="K148" t="str">
            <v>CONS-LIBRE</v>
          </cell>
          <cell r="L148" t="str">
            <v>FOB</v>
          </cell>
          <cell r="M148" t="str">
            <v>3560</v>
          </cell>
          <cell r="N148" t="str">
            <v>640880.00</v>
          </cell>
          <cell r="O148" t="str">
            <v>72769.60</v>
          </cell>
          <cell r="P148" t="str">
            <v>0.00</v>
          </cell>
          <cell r="Q148" t="str">
            <v>433736.20</v>
          </cell>
          <cell r="R148">
            <v>1845</v>
          </cell>
          <cell r="S148" t="str">
            <v>35600.00</v>
          </cell>
          <cell r="T148" t="str">
            <v>32,219,424</v>
          </cell>
          <cell r="V148" t="str">
            <v>0.00</v>
          </cell>
          <cell r="W148">
            <v>0</v>
          </cell>
          <cell r="X148" t="str">
            <v>13189871-1</v>
          </cell>
          <cell r="Y148" t="str">
            <v>05-01-2026</v>
          </cell>
          <cell r="Z148" t="str">
            <v>SI</v>
          </cell>
          <cell r="AA148" t="str">
            <v>NO</v>
          </cell>
          <cell r="AB148" t="str">
            <v>03-08-2026</v>
          </cell>
          <cell r="AC148" t="str">
            <v>Sin Aprobar</v>
          </cell>
        </row>
        <row r="149">
          <cell r="A149">
            <v>304</v>
          </cell>
          <cell r="B149" t="str">
            <v>23-12-2025</v>
          </cell>
          <cell r="C149" t="str">
            <v>28-12-2025</v>
          </cell>
          <cell r="D149" t="str">
            <v>HUMBOLDT EXPRESS</v>
          </cell>
          <cell r="E149" t="str">
            <v>MARITIMO</v>
          </cell>
          <cell r="F149" t="str">
            <v>JINSHENG</v>
          </cell>
          <cell r="G149" t="str">
            <v>CHUN WAN YI (GUANGZHOU) SUPPLY CHAIN MANAGEMENT CO., LTD</v>
          </cell>
          <cell r="H149" t="str">
            <v>CEREZAS</v>
          </cell>
          <cell r="I149" t="str">
            <v>REGINA /</v>
          </cell>
          <cell r="J149" t="str">
            <v>ALMAHUE EXPORT</v>
          </cell>
          <cell r="K149" t="str">
            <v>CONS-LIBRE</v>
          </cell>
          <cell r="L149" t="str">
            <v>FOB</v>
          </cell>
          <cell r="M149" t="str">
            <v>3528</v>
          </cell>
          <cell r="N149" t="str">
            <v>140076.68</v>
          </cell>
          <cell r="O149" t="str">
            <v>10690.14</v>
          </cell>
          <cell r="P149" t="str">
            <v>0.00</v>
          </cell>
          <cell r="Q149" t="str">
            <v>104130.45</v>
          </cell>
          <cell r="R149">
            <v>1848</v>
          </cell>
          <cell r="S149" t="str">
            <v>35280.00</v>
          </cell>
          <cell r="T149" t="str">
            <v>31,929,811</v>
          </cell>
          <cell r="V149" t="str">
            <v>0.00</v>
          </cell>
          <cell r="W149">
            <v>0</v>
          </cell>
          <cell r="X149" t="str">
            <v>13189792-8</v>
          </cell>
          <cell r="Y149" t="str">
            <v>05-01-2026</v>
          </cell>
          <cell r="Z149" t="str">
            <v>SI</v>
          </cell>
          <cell r="AA149" t="str">
            <v>NO</v>
          </cell>
          <cell r="AB149" t="str">
            <v>03-08-2026</v>
          </cell>
          <cell r="AC149" t="str">
            <v>Sin Aprobar</v>
          </cell>
        </row>
        <row r="150">
          <cell r="A150">
            <v>303</v>
          </cell>
          <cell r="B150" t="str">
            <v>23-12-2025</v>
          </cell>
          <cell r="C150" t="str">
            <v>28-12-2025</v>
          </cell>
          <cell r="D150" t="str">
            <v>HUMBOLDT EXPRESS</v>
          </cell>
          <cell r="E150" t="str">
            <v>MARITIMO</v>
          </cell>
          <cell r="F150" t="str">
            <v>FRUITJOY</v>
          </cell>
          <cell r="G150" t="str">
            <v>SHANGHAI HUI ZHAN INTERNATIONAL TRADE CO., LTD</v>
          </cell>
          <cell r="H150" t="str">
            <v>CEREZAS</v>
          </cell>
          <cell r="I150" t="str">
            <v>KORDIA / LAPINS / REGINA / SKEENA / SWEET HEART /</v>
          </cell>
          <cell r="J150" t="str">
            <v>ALMAHUE EXPORT</v>
          </cell>
          <cell r="K150" t="str">
            <v>CONS-LIBRE</v>
          </cell>
          <cell r="L150" t="str">
            <v>FOB</v>
          </cell>
          <cell r="M150" t="str">
            <v>3520</v>
          </cell>
          <cell r="N150" t="str">
            <v>98487.36</v>
          </cell>
          <cell r="O150" t="str">
            <v>10190.80</v>
          </cell>
          <cell r="P150" t="str">
            <v>0.00</v>
          </cell>
          <cell r="Q150" t="str">
            <v>67818.77</v>
          </cell>
          <cell r="R150">
            <v>1843</v>
          </cell>
          <cell r="S150" t="str">
            <v>35200.00</v>
          </cell>
          <cell r="T150" t="str">
            <v>31,857,408</v>
          </cell>
          <cell r="V150" t="str">
            <v>0.00</v>
          </cell>
          <cell r="W150">
            <v>0</v>
          </cell>
          <cell r="X150" t="str">
            <v>13189363-9</v>
          </cell>
          <cell r="Y150" t="str">
            <v>05-01-2026</v>
          </cell>
          <cell r="Z150" t="str">
            <v>SI</v>
          </cell>
          <cell r="AA150" t="str">
            <v>NO</v>
          </cell>
          <cell r="AB150" t="str">
            <v>03-08-2026</v>
          </cell>
          <cell r="AC150" t="str">
            <v>Sin Aprobar</v>
          </cell>
        </row>
        <row r="151">
          <cell r="A151">
            <v>302</v>
          </cell>
          <cell r="B151" t="str">
            <v>23-12-2025</v>
          </cell>
          <cell r="C151" t="str">
            <v>28-12-2025</v>
          </cell>
          <cell r="D151" t="str">
            <v>HUMBOLDT EXPRESS</v>
          </cell>
          <cell r="E151" t="str">
            <v>MARITIMO</v>
          </cell>
          <cell r="F151" t="str">
            <v>YOGO</v>
          </cell>
          <cell r="G151" t="str">
            <v>CHENGDU RAILPORT EURASIA IMPORT AND EXPORT TRADE CO.,LTD.</v>
          </cell>
          <cell r="H151" t="str">
            <v>CEREZAS</v>
          </cell>
          <cell r="I151" t="str">
            <v>REGINA /</v>
          </cell>
          <cell r="J151" t="str">
            <v>ALMAHUE EXPORT</v>
          </cell>
          <cell r="K151" t="str">
            <v>CONS-LIBRE</v>
          </cell>
          <cell r="L151" t="str">
            <v>FOB</v>
          </cell>
          <cell r="M151" t="str">
            <v>3552</v>
          </cell>
          <cell r="N151" t="str">
            <v>78115.08</v>
          </cell>
          <cell r="O151" t="str">
            <v>10307.74</v>
          </cell>
          <cell r="P151" t="str">
            <v>0.00</v>
          </cell>
          <cell r="Q151" t="str">
            <v>49350.33</v>
          </cell>
          <cell r="R151">
            <v>1846</v>
          </cell>
          <cell r="S151" t="str">
            <v>35520.00</v>
          </cell>
          <cell r="T151" t="str">
            <v>32,147,021</v>
          </cell>
          <cell r="V151" t="str">
            <v>0.00</v>
          </cell>
          <cell r="W151">
            <v>0</v>
          </cell>
          <cell r="X151" t="str">
            <v>13189360-4</v>
          </cell>
          <cell r="Y151" t="str">
            <v>05-01-2026</v>
          </cell>
          <cell r="Z151" t="str">
            <v>SI</v>
          </cell>
          <cell r="AA151" t="str">
            <v>NO</v>
          </cell>
          <cell r="AB151" t="str">
            <v>03-08-2026</v>
          </cell>
          <cell r="AC151" t="str">
            <v>Sin Aprobar</v>
          </cell>
        </row>
        <row r="152">
          <cell r="A152">
            <v>301</v>
          </cell>
          <cell r="B152" t="str">
            <v>22-12-2025</v>
          </cell>
          <cell r="C152" t="str">
            <v>28-12-2025</v>
          </cell>
          <cell r="D152" t="str">
            <v>HUMBOLDT EXPRESS</v>
          </cell>
          <cell r="E152" t="str">
            <v>MARITIMO</v>
          </cell>
          <cell r="F152" t="str">
            <v>KINGO</v>
          </cell>
          <cell r="G152" t="str">
            <v>SHENZHEN FANYA XIANSHIHUI CO.,LTD</v>
          </cell>
          <cell r="H152" t="str">
            <v>CEREZAS</v>
          </cell>
          <cell r="I152" t="str">
            <v>REGINA /</v>
          </cell>
          <cell r="J152" t="str">
            <v>ALMAHUE EXPORT</v>
          </cell>
          <cell r="K152" t="str">
            <v>CONS-LIBRE</v>
          </cell>
          <cell r="L152" t="str">
            <v>FOB</v>
          </cell>
          <cell r="M152" t="str">
            <v>3552</v>
          </cell>
          <cell r="N152" t="str">
            <v>817520.38</v>
          </cell>
          <cell r="O152" t="str">
            <v>71777.44</v>
          </cell>
          <cell r="P152" t="str">
            <v>0.00</v>
          </cell>
          <cell r="Q152" t="str">
            <v>594037.85</v>
          </cell>
          <cell r="R152">
            <v>1844</v>
          </cell>
          <cell r="S152" t="str">
            <v>35520.00</v>
          </cell>
          <cell r="T152" t="str">
            <v>32,147,021</v>
          </cell>
          <cell r="V152" t="str">
            <v>0.00</v>
          </cell>
          <cell r="W152">
            <v>0</v>
          </cell>
          <cell r="X152" t="str">
            <v>13189338-8</v>
          </cell>
          <cell r="Y152" t="str">
            <v>05-01-2026</v>
          </cell>
          <cell r="Z152" t="str">
            <v>SI</v>
          </cell>
          <cell r="AA152" t="str">
            <v>NO</v>
          </cell>
          <cell r="AB152" t="str">
            <v>03-08-2026</v>
          </cell>
          <cell r="AC152" t="str">
            <v>Sin Aprobar</v>
          </cell>
        </row>
        <row r="153">
          <cell r="A153">
            <v>300</v>
          </cell>
          <cell r="B153" t="str">
            <v>22-12-2025</v>
          </cell>
          <cell r="C153" t="str">
            <v>28-12-2025</v>
          </cell>
          <cell r="D153" t="str">
            <v>HUMBOLDT EXPRESS</v>
          </cell>
          <cell r="E153" t="str">
            <v>MARITIMO</v>
          </cell>
          <cell r="F153" t="str">
            <v>HING LEE</v>
          </cell>
          <cell r="G153" t="str">
            <v>SHENZHEN JIANRONG JIAYE TRADE CO., LTD</v>
          </cell>
          <cell r="H153" t="str">
            <v>CEREZAS</v>
          </cell>
          <cell r="I153" t="str">
            <v>REGINA /</v>
          </cell>
          <cell r="J153" t="str">
            <v>ALMAHUE EXPORT</v>
          </cell>
          <cell r="K153" t="str">
            <v>CONS-LIBRE</v>
          </cell>
          <cell r="L153" t="str">
            <v>FOB</v>
          </cell>
          <cell r="M153" t="str">
            <v>3552</v>
          </cell>
          <cell r="N153" t="str">
            <v>69897.51</v>
          </cell>
          <cell r="O153" t="str">
            <v>10361.89</v>
          </cell>
          <cell r="P153" t="str">
            <v>0.00</v>
          </cell>
          <cell r="Q153" t="str">
            <v>39778.55</v>
          </cell>
          <cell r="R153">
            <v>1841</v>
          </cell>
          <cell r="S153" t="str">
            <v>35520.00</v>
          </cell>
          <cell r="T153" t="str">
            <v>32,147,021</v>
          </cell>
          <cell r="V153" t="str">
            <v>0.00</v>
          </cell>
          <cell r="W153">
            <v>0</v>
          </cell>
          <cell r="X153" t="str">
            <v>13189104-0</v>
          </cell>
          <cell r="Y153" t="str">
            <v>06-01-2026</v>
          </cell>
          <cell r="Z153" t="str">
            <v>SI</v>
          </cell>
          <cell r="AA153" t="str">
            <v>NO</v>
          </cell>
          <cell r="AB153" t="str">
            <v>04-08-2026</v>
          </cell>
          <cell r="AC153" t="str">
            <v>Sin Aprobar</v>
          </cell>
        </row>
        <row r="154">
          <cell r="A154">
            <v>299</v>
          </cell>
          <cell r="B154" t="str">
            <v>23-12-2025</v>
          </cell>
          <cell r="C154" t="str">
            <v>28-12-2025</v>
          </cell>
          <cell r="D154" t="str">
            <v>HUMBOLDT EXPRESS</v>
          </cell>
          <cell r="E154" t="str">
            <v>MARITIMO</v>
          </cell>
          <cell r="F154" t="str">
            <v>YUERUN TRADING</v>
          </cell>
          <cell r="G154" t="str">
            <v>SHENZHEN FANYA XIANSHIHUI CO.,LTD</v>
          </cell>
          <cell r="H154" t="str">
            <v>CEREZAS</v>
          </cell>
          <cell r="I154" t="str">
            <v>REGINA /</v>
          </cell>
          <cell r="J154" t="str">
            <v>ALMAHUE EXPORT</v>
          </cell>
          <cell r="K154" t="str">
            <v>CONS-LIBRE</v>
          </cell>
          <cell r="L154" t="str">
            <v>FOB</v>
          </cell>
          <cell r="M154" t="str">
            <v>3560</v>
          </cell>
          <cell r="N154" t="str">
            <v>754880.00</v>
          </cell>
          <cell r="O154" t="str">
            <v>73529.59</v>
          </cell>
          <cell r="P154" t="str">
            <v>0.00</v>
          </cell>
          <cell r="Q154" t="str">
            <v>551377.65</v>
          </cell>
          <cell r="R154">
            <v>1851</v>
          </cell>
          <cell r="S154" t="str">
            <v>35600.00</v>
          </cell>
          <cell r="T154" t="str">
            <v>32,219,424</v>
          </cell>
          <cell r="V154" t="str">
            <v>0.00</v>
          </cell>
          <cell r="W154">
            <v>0</v>
          </cell>
          <cell r="X154" t="str">
            <v>13190206-9</v>
          </cell>
          <cell r="Y154" t="str">
            <v>05-01-2026</v>
          </cell>
          <cell r="Z154" t="str">
            <v>SI</v>
          </cell>
          <cell r="AA154" t="str">
            <v>NO</v>
          </cell>
          <cell r="AB154" t="str">
            <v>03-08-2026</v>
          </cell>
          <cell r="AC154" t="str">
            <v>Sin Aprobar</v>
          </cell>
        </row>
        <row r="155">
          <cell r="A155">
            <v>298</v>
          </cell>
          <cell r="B155" t="str">
            <v>23-12-2025</v>
          </cell>
          <cell r="C155" t="str">
            <v>28-12-2025</v>
          </cell>
          <cell r="D155" t="str">
            <v>HUMBOLDT EXPRESS</v>
          </cell>
          <cell r="E155" t="str">
            <v>MARITIMO</v>
          </cell>
          <cell r="F155" t="str">
            <v>KINGO</v>
          </cell>
          <cell r="G155" t="str">
            <v>SHENZHEN FANYA XIANSHIHUI CO.,LTD</v>
          </cell>
          <cell r="H155" t="str">
            <v>CEREZAS</v>
          </cell>
          <cell r="I155" t="str">
            <v>REGINA /</v>
          </cell>
          <cell r="J155" t="str">
            <v>ALMAHUE EXPORT</v>
          </cell>
          <cell r="K155" t="str">
            <v>CONS-LIBRE</v>
          </cell>
          <cell r="L155" t="str">
            <v>FOB</v>
          </cell>
          <cell r="M155" t="str">
            <v>3552</v>
          </cell>
          <cell r="N155" t="str">
            <v>408085.82</v>
          </cell>
          <cell r="O155" t="str">
            <v>71777.44</v>
          </cell>
          <cell r="P155" t="str">
            <v>0.00</v>
          </cell>
          <cell r="Q155" t="str">
            <v>239931.61</v>
          </cell>
          <cell r="R155">
            <v>1842</v>
          </cell>
          <cell r="S155" t="str">
            <v>35520.00</v>
          </cell>
          <cell r="T155" t="str">
            <v>32,147,021</v>
          </cell>
          <cell r="V155" t="str">
            <v>0.00</v>
          </cell>
          <cell r="W155">
            <v>0</v>
          </cell>
          <cell r="X155" t="str">
            <v>13190153-4</v>
          </cell>
          <cell r="Y155" t="str">
            <v>05-01-2026</v>
          </cell>
          <cell r="Z155" t="str">
            <v>SI</v>
          </cell>
          <cell r="AA155" t="str">
            <v>NO</v>
          </cell>
          <cell r="AB155" t="str">
            <v>03-08-2026</v>
          </cell>
          <cell r="AC155" t="str">
            <v>Sin Aprobar</v>
          </cell>
        </row>
        <row r="156">
          <cell r="A156">
            <v>297</v>
          </cell>
          <cell r="B156" t="str">
            <v>22-12-2025</v>
          </cell>
          <cell r="C156" t="str">
            <v>28-12-2025</v>
          </cell>
          <cell r="D156" t="str">
            <v>MSC NOA ARIELA</v>
          </cell>
          <cell r="E156" t="str">
            <v>MARITIMO</v>
          </cell>
          <cell r="F156" t="str">
            <v>ACUMEN</v>
          </cell>
          <cell r="G156" t="str">
            <v>COPSAYS, S.A DE C.V</v>
          </cell>
          <cell r="H156" t="str">
            <v>NECTARINES</v>
          </cell>
          <cell r="I156" t="str">
            <v>EXTREME RED /</v>
          </cell>
          <cell r="J156" t="str">
            <v>ALMAHUE EXPORT</v>
          </cell>
          <cell r="K156" t="str">
            <v>CONS-LIBRE</v>
          </cell>
          <cell r="L156" t="str">
            <v>FOB</v>
          </cell>
          <cell r="M156" t="str">
            <v>2400</v>
          </cell>
          <cell r="N156" t="str">
            <v>61663.40</v>
          </cell>
          <cell r="O156" t="str">
            <v>4000.00</v>
          </cell>
          <cell r="P156" t="str">
            <v>0.00</v>
          </cell>
          <cell r="Q156" t="str">
            <v>41562.06</v>
          </cell>
          <cell r="R156">
            <v>1840</v>
          </cell>
          <cell r="S156" t="str">
            <v>14400.00</v>
          </cell>
          <cell r="T156" t="str">
            <v>13,032,576</v>
          </cell>
          <cell r="V156" t="str">
            <v>0.00</v>
          </cell>
          <cell r="W156">
            <v>0</v>
          </cell>
          <cell r="X156" t="str">
            <v>13187153-8</v>
          </cell>
          <cell r="Y156" t="str">
            <v>02-01-2026</v>
          </cell>
          <cell r="Z156" t="str">
            <v>SI</v>
          </cell>
          <cell r="AA156" t="str">
            <v>NO</v>
          </cell>
          <cell r="AB156" t="str">
            <v>31-07-2026</v>
          </cell>
          <cell r="AC156" t="str">
            <v>Sin Aprobar</v>
          </cell>
        </row>
        <row r="157">
          <cell r="A157">
            <v>296</v>
          </cell>
          <cell r="B157" t="str">
            <v>22-12-2025</v>
          </cell>
          <cell r="C157" t="str">
            <v>28-12-2025</v>
          </cell>
          <cell r="D157" t="str">
            <v>MSC NOA ARIELA</v>
          </cell>
          <cell r="E157" t="str">
            <v>MARITIMO</v>
          </cell>
          <cell r="F157" t="str">
            <v>ACUMEN</v>
          </cell>
          <cell r="G157" t="str">
            <v>COPSAYS, S.A DE C.V</v>
          </cell>
          <cell r="H157" t="str">
            <v>NECTARINES</v>
          </cell>
          <cell r="I157" t="str">
            <v>SPRING BRIGHT /</v>
          </cell>
          <cell r="J157" t="str">
            <v>ALMAHUE EXPORT</v>
          </cell>
          <cell r="K157" t="str">
            <v>CONS-LIBRE</v>
          </cell>
          <cell r="L157" t="str">
            <v>FOB</v>
          </cell>
          <cell r="M157" t="str">
            <v>2400</v>
          </cell>
          <cell r="N157" t="str">
            <v>48112.66</v>
          </cell>
          <cell r="O157" t="str">
            <v>4000.00</v>
          </cell>
          <cell r="P157" t="str">
            <v>0.00</v>
          </cell>
          <cell r="Q157" t="str">
            <v>29819.39</v>
          </cell>
          <cell r="R157">
            <v>1839</v>
          </cell>
          <cell r="S157" t="str">
            <v>14400.00</v>
          </cell>
          <cell r="T157" t="str">
            <v>13,032,576</v>
          </cell>
          <cell r="V157" t="str">
            <v>0.00</v>
          </cell>
          <cell r="W157">
            <v>0</v>
          </cell>
          <cell r="X157" t="str">
            <v>13186979-7</v>
          </cell>
          <cell r="Y157" t="str">
            <v>02-01-2026</v>
          </cell>
          <cell r="Z157" t="str">
            <v>SI</v>
          </cell>
          <cell r="AA157" t="str">
            <v>NO</v>
          </cell>
          <cell r="AB157" t="str">
            <v>31-07-2026</v>
          </cell>
          <cell r="AC157" t="str">
            <v>Sin Aprobar</v>
          </cell>
        </row>
        <row r="158">
          <cell r="A158">
            <v>295</v>
          </cell>
          <cell r="B158" t="str">
            <v>23-12-2025</v>
          </cell>
          <cell r="C158" t="str">
            <v>27-12-2025</v>
          </cell>
          <cell r="D158" t="str">
            <v>MAERSK EUNAPOLIS</v>
          </cell>
          <cell r="E158" t="str">
            <v>MARITIMO</v>
          </cell>
          <cell r="F158" t="str">
            <v>HING LEE</v>
          </cell>
          <cell r="G158" t="str">
            <v>SHENZHEN JINSHUN'AN INTERNATIONAL FREIGHT FORWARDING CO.,LTD</v>
          </cell>
          <cell r="H158" t="str">
            <v>CEREZAS</v>
          </cell>
          <cell r="I158" t="str">
            <v>REGINA /</v>
          </cell>
          <cell r="J158" t="str">
            <v>ALMAHUE EXPORT</v>
          </cell>
          <cell r="K158" t="str">
            <v>CONS-LIBRE</v>
          </cell>
          <cell r="L158" t="str">
            <v>FOB</v>
          </cell>
          <cell r="M158" t="str">
            <v>3552</v>
          </cell>
          <cell r="N158" t="str">
            <v>75515.67</v>
          </cell>
          <cell r="O158" t="str">
            <v>10846.68</v>
          </cell>
          <cell r="P158" t="str">
            <v>0.00</v>
          </cell>
          <cell r="Q158" t="str">
            <v>44722.86</v>
          </cell>
          <cell r="R158">
            <v>1837</v>
          </cell>
          <cell r="S158" t="str">
            <v>35520.00</v>
          </cell>
          <cell r="T158" t="str">
            <v>32,147,021</v>
          </cell>
          <cell r="V158" t="str">
            <v>0.00</v>
          </cell>
          <cell r="W158">
            <v>0</v>
          </cell>
          <cell r="X158" t="str">
            <v>13189332-9</v>
          </cell>
          <cell r="Y158" t="str">
            <v>13-01-2026</v>
          </cell>
          <cell r="Z158" t="str">
            <v>SI</v>
          </cell>
          <cell r="AA158" t="str">
            <v>NO</v>
          </cell>
          <cell r="AB158" t="str">
            <v>11-08-2026</v>
          </cell>
          <cell r="AC158" t="str">
            <v>Sin Aprobar</v>
          </cell>
        </row>
        <row r="159">
          <cell r="A159">
            <v>294</v>
          </cell>
          <cell r="B159" t="str">
            <v>23-12-2025</v>
          </cell>
          <cell r="C159" t="str">
            <v>27-12-2025</v>
          </cell>
          <cell r="D159" t="str">
            <v>MAERSK EUNAPOLIS</v>
          </cell>
          <cell r="E159" t="str">
            <v>MARITIMO</v>
          </cell>
          <cell r="F159" t="str">
            <v>AARTSEN</v>
          </cell>
          <cell r="G159" t="str">
            <v>SHENZHEN OHENG IMPORT &amp; EXPORT CO., LTD</v>
          </cell>
          <cell r="H159" t="str">
            <v>CEREZAS</v>
          </cell>
          <cell r="I159" t="str">
            <v>REGINA /</v>
          </cell>
          <cell r="J159" t="str">
            <v>ALMAHUE EXPORT</v>
          </cell>
          <cell r="K159" t="str">
            <v>CONS-LIBRE</v>
          </cell>
          <cell r="L159" t="str">
            <v>FOB</v>
          </cell>
          <cell r="M159" t="str">
            <v>3552</v>
          </cell>
          <cell r="N159" t="str">
            <v>67923.84</v>
          </cell>
          <cell r="O159" t="str">
            <v>10511.59</v>
          </cell>
          <cell r="P159" t="str">
            <v>0.00</v>
          </cell>
          <cell r="Q159" t="str">
            <v>40498.23</v>
          </cell>
          <cell r="R159">
            <v>1836</v>
          </cell>
          <cell r="S159" t="str">
            <v>35520.00</v>
          </cell>
          <cell r="T159" t="str">
            <v>32,147,021</v>
          </cell>
          <cell r="V159" t="str">
            <v>0.00</v>
          </cell>
          <cell r="W159">
            <v>0</v>
          </cell>
          <cell r="X159" t="str">
            <v>13189324-8</v>
          </cell>
          <cell r="Y159" t="str">
            <v>12-01-2026</v>
          </cell>
          <cell r="Z159" t="str">
            <v>SI</v>
          </cell>
          <cell r="AA159" t="str">
            <v>NO</v>
          </cell>
          <cell r="AB159" t="str">
            <v>10-08-2026</v>
          </cell>
          <cell r="AC159" t="str">
            <v>Sin Aprobar</v>
          </cell>
        </row>
        <row r="160">
          <cell r="A160">
            <v>293</v>
          </cell>
          <cell r="B160" t="str">
            <v>23-12-2025</v>
          </cell>
          <cell r="C160" t="str">
            <v>27-12-2025</v>
          </cell>
          <cell r="D160" t="str">
            <v>MAERSK EUNAPOLIS</v>
          </cell>
          <cell r="E160" t="str">
            <v>MARITIMO</v>
          </cell>
          <cell r="F160" t="str">
            <v>HUASHENG</v>
          </cell>
          <cell r="G160" t="str">
            <v>CHUN WAN YI (GUANGZHOU) SUPPLY CHAIN MANAGEMENT CO., LTD</v>
          </cell>
          <cell r="H160" t="str">
            <v>CEREZAS</v>
          </cell>
          <cell r="I160" t="str">
            <v>LAPINS / REGINA /</v>
          </cell>
          <cell r="J160" t="str">
            <v>ALMAHUE EXPORT</v>
          </cell>
          <cell r="K160" t="str">
            <v>CONS-LIBRE</v>
          </cell>
          <cell r="L160" t="str">
            <v>FOB</v>
          </cell>
          <cell r="M160" t="str">
            <v>3520</v>
          </cell>
          <cell r="N160" t="str">
            <v>82821.80</v>
          </cell>
          <cell r="O160" t="str">
            <v>10304.35</v>
          </cell>
          <cell r="P160" t="str">
            <v>0.00</v>
          </cell>
          <cell r="Q160" t="str">
            <v>55482.25</v>
          </cell>
          <cell r="R160">
            <v>1838</v>
          </cell>
          <cell r="S160" t="str">
            <v>35200.00</v>
          </cell>
          <cell r="T160" t="str">
            <v>31,857,408</v>
          </cell>
          <cell r="V160" t="str">
            <v>0.00</v>
          </cell>
          <cell r="W160">
            <v>0</v>
          </cell>
          <cell r="X160" t="str">
            <v>13189281-0</v>
          </cell>
          <cell r="Y160" t="str">
            <v>12-01-2026</v>
          </cell>
          <cell r="Z160" t="str">
            <v>SI</v>
          </cell>
          <cell r="AA160" t="str">
            <v>NO</v>
          </cell>
          <cell r="AB160" t="str">
            <v>10-08-2026</v>
          </cell>
          <cell r="AC160" t="str">
            <v>Sin Aprobar</v>
          </cell>
        </row>
        <row r="161">
          <cell r="A161">
            <v>292</v>
          </cell>
          <cell r="B161" t="str">
            <v>22-12-2025</v>
          </cell>
          <cell r="C161" t="str">
            <v>27-12-2025</v>
          </cell>
          <cell r="D161" t="str">
            <v>MAERSK EUNAPOLIS</v>
          </cell>
          <cell r="E161" t="str">
            <v>MARITIMO</v>
          </cell>
          <cell r="F161" t="str">
            <v>SUNHOLA</v>
          </cell>
          <cell r="G161" t="str">
            <v>HUBEI SHOUHENG SUPPLY CHAIN MANAGEMENT CO. , LTD</v>
          </cell>
          <cell r="H161" t="str">
            <v>CEREZAS</v>
          </cell>
          <cell r="I161" t="str">
            <v>REGINA /</v>
          </cell>
          <cell r="J161" t="str">
            <v>ALMAHUE EXPORT</v>
          </cell>
          <cell r="K161" t="str">
            <v>CONS-LIBRE</v>
          </cell>
          <cell r="L161" t="str">
            <v>FOB</v>
          </cell>
          <cell r="M161" t="str">
            <v>3552</v>
          </cell>
          <cell r="N161" t="str">
            <v>685370.00</v>
          </cell>
          <cell r="O161" t="str">
            <v>73560.10</v>
          </cell>
          <cell r="P161" t="str">
            <v>0.00</v>
          </cell>
          <cell r="Q161" t="str">
            <v>480484.40</v>
          </cell>
          <cell r="R161">
            <v>1835</v>
          </cell>
          <cell r="S161" t="str">
            <v>35520.00</v>
          </cell>
          <cell r="T161" t="str">
            <v>32,147,021</v>
          </cell>
          <cell r="V161" t="str">
            <v>0.00</v>
          </cell>
          <cell r="W161">
            <v>0</v>
          </cell>
          <cell r="X161" t="str">
            <v>13186228-8</v>
          </cell>
          <cell r="Y161" t="str">
            <v>09-01-2026</v>
          </cell>
          <cell r="Z161" t="str">
            <v>SI</v>
          </cell>
          <cell r="AA161" t="str">
            <v>NO</v>
          </cell>
          <cell r="AB161" t="str">
            <v>07-08-2026</v>
          </cell>
          <cell r="AC161" t="str">
            <v>Sin Aprobar</v>
          </cell>
        </row>
        <row r="162">
          <cell r="A162">
            <v>291</v>
          </cell>
          <cell r="B162" t="str">
            <v>22-12-2025</v>
          </cell>
          <cell r="C162" t="str">
            <v>27-12-2025</v>
          </cell>
          <cell r="D162" t="str">
            <v>MAERSK EUNAPOLIS</v>
          </cell>
          <cell r="E162" t="str">
            <v>MARITIMO</v>
          </cell>
          <cell r="F162" t="str">
            <v>CHEN SUN</v>
          </cell>
          <cell r="G162" t="str">
            <v>LUSHANG INTERNATIONAL TRADE CO., LTD.</v>
          </cell>
          <cell r="H162" t="str">
            <v>CEREZAS</v>
          </cell>
          <cell r="I162" t="str">
            <v>REGINA /</v>
          </cell>
          <cell r="J162" t="str">
            <v>ALMAHUE EXPORT</v>
          </cell>
          <cell r="K162" t="str">
            <v>CONS-LIBRE</v>
          </cell>
          <cell r="L162" t="str">
            <v>FOB</v>
          </cell>
          <cell r="M162" t="str">
            <v>3552</v>
          </cell>
          <cell r="N162" t="str">
            <v>591090.43</v>
          </cell>
          <cell r="O162" t="str">
            <v>73420.00</v>
          </cell>
          <cell r="P162" t="str">
            <v>0.00</v>
          </cell>
          <cell r="Q162" t="str">
            <v>377195.10</v>
          </cell>
          <cell r="R162">
            <v>1834</v>
          </cell>
          <cell r="S162" t="str">
            <v>35520.00</v>
          </cell>
          <cell r="T162" t="str">
            <v>32,147,021</v>
          </cell>
          <cell r="V162" t="str">
            <v>0.00</v>
          </cell>
          <cell r="W162">
            <v>0</v>
          </cell>
          <cell r="X162" t="str">
            <v>13186224-5</v>
          </cell>
          <cell r="Y162" t="str">
            <v>14-01-2026</v>
          </cell>
          <cell r="Z162" t="str">
            <v>SI</v>
          </cell>
          <cell r="AA162" t="str">
            <v>NO</v>
          </cell>
          <cell r="AB162" t="str">
            <v>12-08-2026</v>
          </cell>
          <cell r="AC162" t="str">
            <v>Sin Aprobar</v>
          </cell>
        </row>
        <row r="163">
          <cell r="A163">
            <v>290</v>
          </cell>
          <cell r="B163" t="str">
            <v>22-12-2025</v>
          </cell>
          <cell r="C163" t="str">
            <v>27-12-2025</v>
          </cell>
          <cell r="D163" t="str">
            <v>MAERSK EUNAPOLIS</v>
          </cell>
          <cell r="E163" t="str">
            <v>MARITIMO</v>
          </cell>
          <cell r="F163" t="str">
            <v>DORLUNG</v>
          </cell>
          <cell r="G163" t="str">
            <v>SHENZHEN WEI CHENG LI DE TRADE CO.,LTD</v>
          </cell>
          <cell r="H163" t="str">
            <v>CEREZAS</v>
          </cell>
          <cell r="I163" t="str">
            <v>KORDIA / LAPINS / REGINA / SKEENA / SWEET HEART /</v>
          </cell>
          <cell r="J163" t="str">
            <v>ALMAHUE EXPORT</v>
          </cell>
          <cell r="K163" t="str">
            <v>CONS-LIBRE</v>
          </cell>
          <cell r="L163" t="str">
            <v>FOB</v>
          </cell>
          <cell r="M163" t="str">
            <v>3552</v>
          </cell>
          <cell r="N163" t="str">
            <v>70986.42</v>
          </cell>
          <cell r="O163" t="str">
            <v>10500.00</v>
          </cell>
          <cell r="P163" t="str">
            <v>0.00</v>
          </cell>
          <cell r="Q163" t="str">
            <v>42454.44</v>
          </cell>
          <cell r="R163">
            <v>1833</v>
          </cell>
          <cell r="S163" t="str">
            <v>35520.00</v>
          </cell>
          <cell r="T163" t="str">
            <v>32,147,021</v>
          </cell>
          <cell r="V163" t="str">
            <v>0.00</v>
          </cell>
          <cell r="W163">
            <v>0</v>
          </cell>
          <cell r="X163" t="str">
            <v>13186215-6</v>
          </cell>
          <cell r="Y163" t="str">
            <v>13-01-2026</v>
          </cell>
          <cell r="Z163" t="str">
            <v>SI</v>
          </cell>
          <cell r="AA163" t="str">
            <v>NO</v>
          </cell>
          <cell r="AB163" t="str">
            <v>11-08-2026</v>
          </cell>
          <cell r="AC163" t="str">
            <v>Sin Aprobar</v>
          </cell>
        </row>
        <row r="164">
          <cell r="A164">
            <v>289</v>
          </cell>
          <cell r="B164" t="str">
            <v>22-12-2025</v>
          </cell>
          <cell r="C164" t="str">
            <v>27-12-2025</v>
          </cell>
          <cell r="D164" t="str">
            <v>MAERSK EUNAPOLIS</v>
          </cell>
          <cell r="E164" t="str">
            <v>MARITIMO</v>
          </cell>
          <cell r="F164" t="str">
            <v>HING LEE</v>
          </cell>
          <cell r="G164" t="str">
            <v>SHENZHEN JINSHUN'AN INTERNATIONAL FREIGHT FORWARDING CO.,LTD</v>
          </cell>
          <cell r="H164" t="str">
            <v>CEREZAS</v>
          </cell>
          <cell r="I164" t="str">
            <v>KORDIA / LAPINS / REGINA / SKEENA / SWEET HEART /</v>
          </cell>
          <cell r="J164" t="str">
            <v>ALMAHUE EXPORT</v>
          </cell>
          <cell r="K164" t="str">
            <v>CONS-LIBRE</v>
          </cell>
          <cell r="L164" t="str">
            <v>FOB</v>
          </cell>
          <cell r="M164" t="str">
            <v>3520</v>
          </cell>
          <cell r="N164" t="str">
            <v>141812.98</v>
          </cell>
          <cell r="O164" t="str">
            <v>10381.00</v>
          </cell>
          <cell r="P164" t="str">
            <v>0.00</v>
          </cell>
          <cell r="Q164" t="str">
            <v>105454.30</v>
          </cell>
          <cell r="R164">
            <v>1832</v>
          </cell>
          <cell r="S164" t="str">
            <v>35200.00</v>
          </cell>
          <cell r="T164" t="str">
            <v>31,857,408</v>
          </cell>
          <cell r="V164" t="str">
            <v>0.00</v>
          </cell>
          <cell r="W164">
            <v>0</v>
          </cell>
          <cell r="X164" t="str">
            <v>13186195-8</v>
          </cell>
          <cell r="Y164" t="str">
            <v>09-01-2026</v>
          </cell>
          <cell r="Z164" t="str">
            <v>SI</v>
          </cell>
          <cell r="AA164" t="str">
            <v>NO</v>
          </cell>
          <cell r="AB164" t="str">
            <v>07-08-2026</v>
          </cell>
          <cell r="AC164" t="str">
            <v>Sin Aprobar</v>
          </cell>
        </row>
        <row r="165">
          <cell r="A165">
            <v>288</v>
          </cell>
          <cell r="B165" t="str">
            <v>21-12-2025</v>
          </cell>
          <cell r="C165" t="str">
            <v>24-12-2025</v>
          </cell>
          <cell r="D165" t="str">
            <v>BEIJING</v>
          </cell>
          <cell r="E165" t="str">
            <v>MARITIMO</v>
          </cell>
          <cell r="F165" t="str">
            <v>YOGO</v>
          </cell>
          <cell r="G165" t="str">
            <v>CHENGDU RAILPORT EURASIA IMPORT AND EXPORT TRADE CO.,LTD.</v>
          </cell>
          <cell r="H165" t="str">
            <v>CEREZAS</v>
          </cell>
          <cell r="I165" t="str">
            <v>REGINA /</v>
          </cell>
          <cell r="J165" t="str">
            <v>ALMAHUE EXPORT</v>
          </cell>
          <cell r="K165" t="str">
            <v>CONS-LIBRE</v>
          </cell>
          <cell r="L165" t="str">
            <v>FOB</v>
          </cell>
          <cell r="M165" t="str">
            <v>3552</v>
          </cell>
          <cell r="N165" t="str">
            <v>104069.07</v>
          </cell>
          <cell r="O165" t="str">
            <v>9546.55</v>
          </cell>
          <cell r="P165" t="str">
            <v>0.00</v>
          </cell>
          <cell r="Q165" t="str">
            <v>74255.18</v>
          </cell>
          <cell r="R165">
            <v>1831</v>
          </cell>
          <cell r="S165" t="str">
            <v>35520.00</v>
          </cell>
          <cell r="T165" t="str">
            <v>32,196,749</v>
          </cell>
          <cell r="V165" t="str">
            <v>0.00</v>
          </cell>
          <cell r="W165">
            <v>0</v>
          </cell>
          <cell r="X165" t="str">
            <v>13184057-8</v>
          </cell>
          <cell r="Y165" t="str">
            <v>06-01-2026</v>
          </cell>
          <cell r="Z165" t="str">
            <v>SI</v>
          </cell>
          <cell r="AA165" t="str">
            <v>NO</v>
          </cell>
          <cell r="AB165" t="str">
            <v>04-08-2026</v>
          </cell>
          <cell r="AC165" t="str">
            <v>Sin Aprobar</v>
          </cell>
        </row>
        <row r="166">
          <cell r="A166">
            <v>287</v>
          </cell>
          <cell r="B166" t="str">
            <v>21-12-2025</v>
          </cell>
          <cell r="C166" t="str">
            <v>24-12-2025</v>
          </cell>
          <cell r="D166" t="str">
            <v>BEIJING</v>
          </cell>
          <cell r="E166" t="str">
            <v>MARITIMO</v>
          </cell>
          <cell r="F166" t="str">
            <v>FRUITJOY</v>
          </cell>
          <cell r="G166" t="str">
            <v>SHANGHAI HUI ZHAN INTERNATIONAL TRADE CO., LTD</v>
          </cell>
          <cell r="H166" t="str">
            <v>CEREZAS</v>
          </cell>
          <cell r="I166" t="str">
            <v>KORDIA / LAPINS / REGINA /</v>
          </cell>
          <cell r="J166" t="str">
            <v>ALMAHUE EXPORT</v>
          </cell>
          <cell r="K166" t="str">
            <v>CONS-LIBRE</v>
          </cell>
          <cell r="L166" t="str">
            <v>FOB</v>
          </cell>
          <cell r="M166" t="str">
            <v>3520</v>
          </cell>
          <cell r="N166" t="str">
            <v>95151.62</v>
          </cell>
          <cell r="O166" t="str">
            <v>9676.58</v>
          </cell>
          <cell r="P166" t="str">
            <v>0.00</v>
          </cell>
          <cell r="Q166" t="str">
            <v>66437.70</v>
          </cell>
          <cell r="R166">
            <v>1827</v>
          </cell>
          <cell r="S166" t="str">
            <v>35200.00</v>
          </cell>
          <cell r="T166" t="str">
            <v>31,906,688</v>
          </cell>
          <cell r="V166" t="str">
            <v>0.00</v>
          </cell>
          <cell r="W166">
            <v>0</v>
          </cell>
          <cell r="X166" t="str">
            <v>13184885-4</v>
          </cell>
          <cell r="Y166" t="str">
            <v>02-01-2026</v>
          </cell>
          <cell r="Z166" t="str">
            <v>SI</v>
          </cell>
          <cell r="AA166" t="str">
            <v>NO</v>
          </cell>
          <cell r="AB166" t="str">
            <v>31-07-2026</v>
          </cell>
          <cell r="AC166" t="str">
            <v>Sin Aprobar</v>
          </cell>
        </row>
        <row r="167">
          <cell r="A167">
            <v>286</v>
          </cell>
          <cell r="B167" t="str">
            <v>21-12-2025</v>
          </cell>
          <cell r="C167" t="str">
            <v>24-12-2025</v>
          </cell>
          <cell r="D167" t="str">
            <v>BEIJING</v>
          </cell>
          <cell r="E167" t="str">
            <v>MARITIMO</v>
          </cell>
          <cell r="F167" t="str">
            <v>XINGWAN</v>
          </cell>
          <cell r="G167" t="str">
            <v>ZHEJIANG OHENG IMPORT &amp; EXPORT CO.,LTD.</v>
          </cell>
          <cell r="H167" t="str">
            <v>CEREZAS</v>
          </cell>
          <cell r="I167" t="str">
            <v>REGINA /</v>
          </cell>
          <cell r="J167" t="str">
            <v>ALMAHUE EXPORT</v>
          </cell>
          <cell r="K167" t="str">
            <v>CONS-LIBRE</v>
          </cell>
          <cell r="L167" t="str">
            <v>FOB</v>
          </cell>
          <cell r="M167" t="str">
            <v>3520</v>
          </cell>
          <cell r="N167" t="str">
            <v>616880.00</v>
          </cell>
          <cell r="O167" t="str">
            <v>68357.80</v>
          </cell>
          <cell r="P167" t="str">
            <v>0.00</v>
          </cell>
          <cell r="Q167" t="str">
            <v>437458.20</v>
          </cell>
          <cell r="R167">
            <v>1830</v>
          </cell>
          <cell r="S167" t="str">
            <v>35200.00</v>
          </cell>
          <cell r="T167" t="str">
            <v>31,906,688</v>
          </cell>
          <cell r="V167" t="str">
            <v>0.00</v>
          </cell>
          <cell r="W167">
            <v>0</v>
          </cell>
          <cell r="X167" t="str">
            <v>13184878-1</v>
          </cell>
          <cell r="Y167" t="str">
            <v>02-01-2026</v>
          </cell>
          <cell r="Z167" t="str">
            <v>SI</v>
          </cell>
          <cell r="AA167" t="str">
            <v>NO</v>
          </cell>
          <cell r="AB167" t="str">
            <v>31-07-2026</v>
          </cell>
          <cell r="AC167" t="str">
            <v>Sin Aprobar</v>
          </cell>
        </row>
        <row r="168">
          <cell r="A168">
            <v>285</v>
          </cell>
          <cell r="B168" t="str">
            <v>21-12-2025</v>
          </cell>
          <cell r="C168" t="str">
            <v>24-12-2025</v>
          </cell>
          <cell r="D168" t="str">
            <v>BEIJING</v>
          </cell>
          <cell r="E168" t="str">
            <v>MARITIMO</v>
          </cell>
          <cell r="F168" t="str">
            <v>WUHAN CCMAX FRUITS CO., LTD</v>
          </cell>
          <cell r="G168" t="str">
            <v>SHANGHAI HUI ZHAN INTERNATIONAL TRADE CO., LTD</v>
          </cell>
          <cell r="H168" t="str">
            <v>CEREZAS</v>
          </cell>
          <cell r="I168" t="str">
            <v>REGINA /</v>
          </cell>
          <cell r="J168" t="str">
            <v>ALMAHUE EXPORT</v>
          </cell>
          <cell r="K168" t="str">
            <v>CONS-LIBRE</v>
          </cell>
          <cell r="L168" t="str">
            <v>FOB</v>
          </cell>
          <cell r="M168" t="str">
            <v>3520</v>
          </cell>
          <cell r="N168" t="str">
            <v>90043.18</v>
          </cell>
          <cell r="O168" t="str">
            <v>10050.92</v>
          </cell>
          <cell r="P168" t="str">
            <v>0.00</v>
          </cell>
          <cell r="Q168" t="str">
            <v>60590.62</v>
          </cell>
          <cell r="R168">
            <v>1826</v>
          </cell>
          <cell r="S168" t="str">
            <v>35200.00</v>
          </cell>
          <cell r="T168" t="str">
            <v>31,906,688</v>
          </cell>
          <cell r="V168" t="str">
            <v>0.00</v>
          </cell>
          <cell r="W168">
            <v>0</v>
          </cell>
          <cell r="X168" t="str">
            <v>13184865-K</v>
          </cell>
          <cell r="Y168" t="str">
            <v>02-01-2026</v>
          </cell>
          <cell r="Z168" t="str">
            <v>SI</v>
          </cell>
          <cell r="AA168" t="str">
            <v>NO</v>
          </cell>
          <cell r="AB168" t="str">
            <v>31-07-2026</v>
          </cell>
          <cell r="AC168" t="str">
            <v>Sin Aprobar</v>
          </cell>
        </row>
        <row r="169">
          <cell r="A169">
            <v>284</v>
          </cell>
          <cell r="B169" t="str">
            <v>20-12-2025</v>
          </cell>
          <cell r="C169" t="str">
            <v>24-12-2025</v>
          </cell>
          <cell r="D169" t="str">
            <v>BEIJING</v>
          </cell>
          <cell r="E169" t="str">
            <v>MARITIMO</v>
          </cell>
          <cell r="F169" t="str">
            <v>SANGO</v>
          </cell>
          <cell r="G169" t="str">
            <v>ZHEJIANG OHENG IMPORT &amp; EXPORT CO.,LTD.</v>
          </cell>
          <cell r="H169" t="str">
            <v>CEREZAS</v>
          </cell>
          <cell r="I169" t="str">
            <v>LAPINS / SKEENA /</v>
          </cell>
          <cell r="J169" t="str">
            <v>ALMAHUE EXPORT</v>
          </cell>
          <cell r="K169" t="str">
            <v>CONS-LIBRE</v>
          </cell>
          <cell r="L169" t="str">
            <v>FOB</v>
          </cell>
          <cell r="M169" t="str">
            <v>3536</v>
          </cell>
          <cell r="N169" t="str">
            <v>647615.00</v>
          </cell>
          <cell r="O169" t="str">
            <v>68357.80</v>
          </cell>
          <cell r="P169" t="str">
            <v>0.00</v>
          </cell>
          <cell r="Q169" t="str">
            <v>464863.67</v>
          </cell>
          <cell r="R169">
            <v>1829</v>
          </cell>
          <cell r="S169" t="str">
            <v>35360.00</v>
          </cell>
          <cell r="T169" t="str">
            <v>32,051,718</v>
          </cell>
          <cell r="V169" t="str">
            <v>0.00</v>
          </cell>
          <cell r="W169">
            <v>0</v>
          </cell>
          <cell r="X169" t="str">
            <v>13184850-1</v>
          </cell>
          <cell r="Y169" t="str">
            <v>02-01-2026</v>
          </cell>
          <cell r="Z169" t="str">
            <v>SI</v>
          </cell>
          <cell r="AA169" t="str">
            <v>NO</v>
          </cell>
          <cell r="AB169" t="str">
            <v>31-07-2026</v>
          </cell>
          <cell r="AC169" t="str">
            <v>Sin Aprobar</v>
          </cell>
        </row>
        <row r="170">
          <cell r="A170">
            <v>283</v>
          </cell>
          <cell r="B170" t="str">
            <v>20-12-2025</v>
          </cell>
          <cell r="C170" t="str">
            <v>24-12-2025</v>
          </cell>
          <cell r="D170" t="str">
            <v>BEIJING</v>
          </cell>
          <cell r="E170" t="str">
            <v>MARITIMO</v>
          </cell>
          <cell r="F170" t="str">
            <v>KINGO</v>
          </cell>
          <cell r="G170" t="str">
            <v>KINGO SHANGHAI CO.,LTD.</v>
          </cell>
          <cell r="H170" t="str">
            <v>CEREZAS</v>
          </cell>
          <cell r="I170" t="str">
            <v>LAPINS / SKEENA /</v>
          </cell>
          <cell r="J170" t="str">
            <v>ALMAHUE EXPORT</v>
          </cell>
          <cell r="K170" t="str">
            <v>CONS-LIBRE</v>
          </cell>
          <cell r="L170" t="str">
            <v>FOB</v>
          </cell>
          <cell r="M170" t="str">
            <v>3568</v>
          </cell>
          <cell r="N170" t="str">
            <v>439885.69</v>
          </cell>
          <cell r="O170" t="str">
            <v>68158.35</v>
          </cell>
          <cell r="P170" t="str">
            <v>0.00</v>
          </cell>
          <cell r="Q170" t="str">
            <v>287908.96</v>
          </cell>
          <cell r="R170">
            <v>1828</v>
          </cell>
          <cell r="S170" t="str">
            <v>35680.00</v>
          </cell>
          <cell r="T170" t="str">
            <v>32,341,779</v>
          </cell>
          <cell r="V170" t="str">
            <v>0.00</v>
          </cell>
          <cell r="W170">
            <v>0</v>
          </cell>
          <cell r="X170" t="str">
            <v>13183639-2</v>
          </cell>
          <cell r="Y170" t="str">
            <v>06-01-2026</v>
          </cell>
          <cell r="Z170" t="str">
            <v>SI</v>
          </cell>
          <cell r="AA170" t="str">
            <v>NO</v>
          </cell>
          <cell r="AB170" t="str">
            <v>04-08-2026</v>
          </cell>
          <cell r="AC170" t="str">
            <v>Sin Aprobar</v>
          </cell>
        </row>
        <row r="171">
          <cell r="A171">
            <v>282</v>
          </cell>
          <cell r="B171" t="str">
            <v>20-12-2025</v>
          </cell>
          <cell r="C171" t="str">
            <v>24-12-2025</v>
          </cell>
          <cell r="D171" t="str">
            <v>BEIJING</v>
          </cell>
          <cell r="E171" t="str">
            <v>MARITIMO</v>
          </cell>
          <cell r="F171" t="str">
            <v>YOGO</v>
          </cell>
          <cell r="G171" t="str">
            <v>CHENGDU RAILPORT EURASIA IMPORT AND EXPORT TRADE CO.,LTD.</v>
          </cell>
          <cell r="H171" t="str">
            <v>CEREZAS</v>
          </cell>
          <cell r="I171" t="str">
            <v>KORDIA / LAPINS /</v>
          </cell>
          <cell r="J171" t="str">
            <v>ALMAHUE EXPORT</v>
          </cell>
          <cell r="K171" t="str">
            <v>CONS-LIBRE</v>
          </cell>
          <cell r="L171" t="str">
            <v>FOB</v>
          </cell>
          <cell r="M171" t="str">
            <v>3525</v>
          </cell>
          <cell r="N171" t="str">
            <v>65640.43</v>
          </cell>
          <cell r="O171" t="str">
            <v>9546.55</v>
          </cell>
          <cell r="P171" t="str">
            <v>0.00</v>
          </cell>
          <cell r="Q171" t="str">
            <v>41369.85</v>
          </cell>
          <cell r="R171">
            <v>1824</v>
          </cell>
          <cell r="S171" t="str">
            <v>35250.00</v>
          </cell>
          <cell r="T171" t="str">
            <v>31,952,010</v>
          </cell>
          <cell r="V171" t="str">
            <v>0.00</v>
          </cell>
          <cell r="W171">
            <v>0</v>
          </cell>
          <cell r="X171" t="str">
            <v>13183638-4</v>
          </cell>
          <cell r="Y171" t="str">
            <v>06-01-2026</v>
          </cell>
          <cell r="Z171" t="str">
            <v>SI</v>
          </cell>
          <cell r="AA171" t="str">
            <v>NO</v>
          </cell>
          <cell r="AB171" t="str">
            <v>04-08-2026</v>
          </cell>
          <cell r="AC171" t="str">
            <v>Sin Aprobar</v>
          </cell>
        </row>
        <row r="172">
          <cell r="A172">
            <v>281</v>
          </cell>
          <cell r="B172" t="str">
            <v>20-12-2025</v>
          </cell>
          <cell r="C172" t="str">
            <v>24-12-2025</v>
          </cell>
          <cell r="D172" t="str">
            <v>BEIJING</v>
          </cell>
          <cell r="E172" t="str">
            <v>MARITIMO</v>
          </cell>
          <cell r="F172" t="str">
            <v>FRUITJOY</v>
          </cell>
          <cell r="G172" t="str">
            <v>SHANGHAI HUI ZHAN INTERNATIONAL TRADE CO., LTD</v>
          </cell>
          <cell r="H172" t="str">
            <v>CEREZAS</v>
          </cell>
          <cell r="I172" t="str">
            <v>LAPINS / SWEET HEART /</v>
          </cell>
          <cell r="J172" t="str">
            <v>ALMAHUE EXPORT</v>
          </cell>
          <cell r="K172" t="str">
            <v>CONS-LIBRE</v>
          </cell>
          <cell r="L172" t="str">
            <v>FOB</v>
          </cell>
          <cell r="M172" t="str">
            <v>3520</v>
          </cell>
          <cell r="N172" t="str">
            <v>89755.88</v>
          </cell>
          <cell r="O172" t="str">
            <v>9676.58</v>
          </cell>
          <cell r="P172" t="str">
            <v>0.00</v>
          </cell>
          <cell r="Q172" t="str">
            <v>62589.83</v>
          </cell>
          <cell r="R172">
            <v>1825</v>
          </cell>
          <cell r="S172" t="str">
            <v>35200.00</v>
          </cell>
          <cell r="T172" t="str">
            <v>31,906,688</v>
          </cell>
          <cell r="V172" t="str">
            <v>0.00</v>
          </cell>
          <cell r="W172">
            <v>0</v>
          </cell>
          <cell r="X172" t="str">
            <v>13182668-0</v>
          </cell>
          <cell r="Y172" t="str">
            <v>02-01-2026</v>
          </cell>
          <cell r="Z172" t="str">
            <v>SI</v>
          </cell>
          <cell r="AA172" t="str">
            <v>NO</v>
          </cell>
          <cell r="AB172" t="str">
            <v>31-07-2026</v>
          </cell>
          <cell r="AC172" t="str">
            <v>Sin Aprobar</v>
          </cell>
        </row>
        <row r="173">
          <cell r="A173">
            <v>280</v>
          </cell>
          <cell r="B173" t="str">
            <v>20-12-2025</v>
          </cell>
          <cell r="C173" t="str">
            <v>24-12-2025</v>
          </cell>
          <cell r="D173" t="str">
            <v>BEIJING</v>
          </cell>
          <cell r="E173" t="str">
            <v>MARITIMO</v>
          </cell>
          <cell r="F173" t="str">
            <v>YUERUN TRADING</v>
          </cell>
          <cell r="G173" t="str">
            <v>SHENZHEN FANYA XIANSHIHUI CO.,LTD</v>
          </cell>
          <cell r="H173" t="str">
            <v>CEREZAS</v>
          </cell>
          <cell r="I173" t="str">
            <v>REGINA /</v>
          </cell>
          <cell r="J173" t="str">
            <v>ALMAHUE EXPORT</v>
          </cell>
          <cell r="K173" t="str">
            <v>CONS-LIBRE</v>
          </cell>
          <cell r="L173" t="str">
            <v>FOB</v>
          </cell>
          <cell r="M173" t="str">
            <v>3544</v>
          </cell>
          <cell r="N173" t="str">
            <v>621504.00</v>
          </cell>
          <cell r="O173" t="str">
            <v>68444.61</v>
          </cell>
          <cell r="P173" t="str">
            <v>0.00</v>
          </cell>
          <cell r="Q173" t="str">
            <v>437128.51</v>
          </cell>
          <cell r="R173">
            <v>1822</v>
          </cell>
          <cell r="S173" t="str">
            <v>35440.00</v>
          </cell>
          <cell r="T173" t="str">
            <v>32,124,234</v>
          </cell>
          <cell r="V173" t="str">
            <v>0.00</v>
          </cell>
          <cell r="W173">
            <v>0</v>
          </cell>
          <cell r="X173" t="str">
            <v>13182611-7</v>
          </cell>
          <cell r="Y173" t="str">
            <v>02-01-2026</v>
          </cell>
          <cell r="Z173" t="str">
            <v>SI</v>
          </cell>
          <cell r="AA173" t="str">
            <v>NO</v>
          </cell>
          <cell r="AB173" t="str">
            <v>31-07-2026</v>
          </cell>
          <cell r="AC173" t="str">
            <v>Sin Aprobar</v>
          </cell>
        </row>
        <row r="174">
          <cell r="A174">
            <v>279</v>
          </cell>
          <cell r="B174" t="str">
            <v>21-12-2025</v>
          </cell>
          <cell r="C174" t="str">
            <v>24-12-2025</v>
          </cell>
          <cell r="D174" t="str">
            <v>BEIJING</v>
          </cell>
          <cell r="E174" t="str">
            <v>MARITIMO</v>
          </cell>
          <cell r="F174" t="str">
            <v>PAGODA</v>
          </cell>
          <cell r="G174" t="str">
            <v>SHANGHAI HUI ZHAN INTERNATIONAL TRADE CO., LTD</v>
          </cell>
          <cell r="H174" t="str">
            <v>CEREZAS</v>
          </cell>
          <cell r="I174" t="str">
            <v>REGINA /</v>
          </cell>
          <cell r="J174" t="str">
            <v>ALMAHUE EXPORT</v>
          </cell>
          <cell r="K174" t="str">
            <v>CONS-LIBRE</v>
          </cell>
          <cell r="L174" t="str">
            <v>FOB</v>
          </cell>
          <cell r="M174" t="str">
            <v>3520</v>
          </cell>
          <cell r="N174" t="str">
            <v>96422.48</v>
          </cell>
          <cell r="O174" t="str">
            <v>9773.90</v>
          </cell>
          <cell r="P174" t="str">
            <v>0.00</v>
          </cell>
          <cell r="Q174" t="str">
            <v>68214.09</v>
          </cell>
          <cell r="R174">
            <v>1821</v>
          </cell>
          <cell r="S174" t="str">
            <v>35200.00</v>
          </cell>
          <cell r="T174" t="str">
            <v>31,906,688</v>
          </cell>
          <cell r="V174" t="str">
            <v>0.00</v>
          </cell>
          <cell r="W174">
            <v>0</v>
          </cell>
          <cell r="X174" t="str">
            <v>13182569-2</v>
          </cell>
          <cell r="Y174" t="str">
            <v>02-01-2026</v>
          </cell>
          <cell r="Z174" t="str">
            <v>SI</v>
          </cell>
          <cell r="AA174" t="str">
            <v>NO</v>
          </cell>
          <cell r="AB174" t="str">
            <v>31-07-2026</v>
          </cell>
          <cell r="AC174" t="str">
            <v>Sin Aprobar</v>
          </cell>
        </row>
        <row r="175">
          <cell r="A175">
            <v>278</v>
          </cell>
          <cell r="B175" t="str">
            <v>20-12-2025</v>
          </cell>
          <cell r="C175" t="str">
            <v>24-12-2025</v>
          </cell>
          <cell r="D175" t="str">
            <v>BEIJING</v>
          </cell>
          <cell r="E175" t="str">
            <v>MARITIMO</v>
          </cell>
          <cell r="F175" t="str">
            <v>XINGWAN</v>
          </cell>
          <cell r="G175" t="str">
            <v>ZHEJIANG OHENG IMPORT &amp; EXPORT CO.,LTD.</v>
          </cell>
          <cell r="H175" t="str">
            <v>CEREZAS</v>
          </cell>
          <cell r="I175" t="str">
            <v>LAPINS / SKEENA /</v>
          </cell>
          <cell r="J175" t="str">
            <v>ALMAHUE EXPORT</v>
          </cell>
          <cell r="K175" t="str">
            <v>CONS-LIBRE</v>
          </cell>
          <cell r="L175" t="str">
            <v>FOB</v>
          </cell>
          <cell r="M175" t="str">
            <v>3520</v>
          </cell>
          <cell r="N175" t="str">
            <v>503440.65</v>
          </cell>
          <cell r="O175" t="str">
            <v>68357.80</v>
          </cell>
          <cell r="P175" t="str">
            <v>0.00</v>
          </cell>
          <cell r="Q175" t="str">
            <v>327214.90</v>
          </cell>
          <cell r="R175">
            <v>1820</v>
          </cell>
          <cell r="S175" t="str">
            <v>35200.00</v>
          </cell>
          <cell r="T175" t="str">
            <v>31,906,688</v>
          </cell>
          <cell r="V175" t="str">
            <v>0.00</v>
          </cell>
          <cell r="W175">
            <v>0</v>
          </cell>
          <cell r="X175" t="str">
            <v>13182507-2</v>
          </cell>
          <cell r="Y175" t="str">
            <v>02-01-2026</v>
          </cell>
          <cell r="Z175" t="str">
            <v>SI</v>
          </cell>
          <cell r="AA175" t="str">
            <v>NO</v>
          </cell>
          <cell r="AB175" t="str">
            <v>31-07-2026</v>
          </cell>
          <cell r="AC175" t="str">
            <v>Sin Aprobar</v>
          </cell>
        </row>
        <row r="176">
          <cell r="A176">
            <v>277</v>
          </cell>
          <cell r="B176" t="str">
            <v>19-12-2025</v>
          </cell>
          <cell r="C176" t="str">
            <v>24-12-2025</v>
          </cell>
          <cell r="D176" t="str">
            <v>BEIJING</v>
          </cell>
          <cell r="E176" t="str">
            <v>MARITIMO</v>
          </cell>
          <cell r="F176" t="str">
            <v>WUHAN CCMAX FRUITS CO., LTD</v>
          </cell>
          <cell r="G176" t="str">
            <v>SHANGHAI HUI ZHAN INTERNATIONAL TRADE CO., LTD</v>
          </cell>
          <cell r="H176" t="str">
            <v>CEREZAS</v>
          </cell>
          <cell r="I176" t="str">
            <v>REGINA /</v>
          </cell>
          <cell r="J176" t="str">
            <v>ALMAHUE EXPORT</v>
          </cell>
          <cell r="K176" t="str">
            <v>CONS-LIBRE</v>
          </cell>
          <cell r="L176" t="str">
            <v>FOB</v>
          </cell>
          <cell r="M176" t="str">
            <v>3520</v>
          </cell>
          <cell r="N176" t="str">
            <v>95217.41</v>
          </cell>
          <cell r="O176" t="str">
            <v>9923.72</v>
          </cell>
          <cell r="P176" t="str">
            <v>0.00</v>
          </cell>
          <cell r="Q176" t="str">
            <v>65729.35</v>
          </cell>
          <cell r="R176">
            <v>1819</v>
          </cell>
          <cell r="S176" t="str">
            <v>35200.00</v>
          </cell>
          <cell r="T176" t="str">
            <v>31,906,688</v>
          </cell>
          <cell r="V176" t="str">
            <v>0.00</v>
          </cell>
          <cell r="W176">
            <v>0</v>
          </cell>
          <cell r="X176" t="str">
            <v>13181115-2</v>
          </cell>
          <cell r="Y176" t="str">
            <v>02-01-2026</v>
          </cell>
          <cell r="Z176" t="str">
            <v>SI</v>
          </cell>
          <cell r="AA176" t="str">
            <v>NO</v>
          </cell>
          <cell r="AB176" t="str">
            <v>31-07-2026</v>
          </cell>
          <cell r="AC176" t="str">
            <v>Sin Aprobar</v>
          </cell>
        </row>
        <row r="177">
          <cell r="A177">
            <v>276</v>
          </cell>
          <cell r="B177" t="str">
            <v>19-12-2025</v>
          </cell>
          <cell r="C177" t="str">
            <v>24-12-2025</v>
          </cell>
          <cell r="D177" t="str">
            <v>BEIJING</v>
          </cell>
          <cell r="E177" t="str">
            <v>MARITIMO</v>
          </cell>
          <cell r="F177" t="str">
            <v>SANGO</v>
          </cell>
          <cell r="G177" t="str">
            <v>ZHEJIANG OHENG IMPORT &amp; EXPORT CO.,LTD.</v>
          </cell>
          <cell r="H177" t="str">
            <v>CEREZAS</v>
          </cell>
          <cell r="I177" t="str">
            <v>KORDIA / LAPINS /</v>
          </cell>
          <cell r="J177" t="str">
            <v>ALMAHUE EXPORT</v>
          </cell>
          <cell r="K177" t="str">
            <v>CONS-LIBRE</v>
          </cell>
          <cell r="L177" t="str">
            <v>FOB</v>
          </cell>
          <cell r="M177" t="str">
            <v>3576</v>
          </cell>
          <cell r="N177" t="str">
            <v>482810.26</v>
          </cell>
          <cell r="O177" t="str">
            <v>68357.80</v>
          </cell>
          <cell r="P177" t="str">
            <v>0.00</v>
          </cell>
          <cell r="Q177" t="str">
            <v>310032.55</v>
          </cell>
          <cell r="R177">
            <v>1823</v>
          </cell>
          <cell r="S177" t="str">
            <v>35760.00</v>
          </cell>
          <cell r="T177" t="str">
            <v>32,414,294</v>
          </cell>
          <cell r="V177" t="str">
            <v>0.00</v>
          </cell>
          <cell r="W177">
            <v>0</v>
          </cell>
          <cell r="X177" t="str">
            <v>13181144-6</v>
          </cell>
          <cell r="Y177" t="str">
            <v>06-01-2026</v>
          </cell>
          <cell r="Z177" t="str">
            <v>SI</v>
          </cell>
          <cell r="AA177" t="str">
            <v>NO</v>
          </cell>
          <cell r="AB177" t="str">
            <v>04-08-2026</v>
          </cell>
          <cell r="AC177" t="str">
            <v>Sin Aprobar</v>
          </cell>
        </row>
        <row r="178">
          <cell r="A178">
            <v>275</v>
          </cell>
          <cell r="B178" t="str">
            <v>19-12-2025</v>
          </cell>
          <cell r="C178" t="str">
            <v>24-12-2025</v>
          </cell>
          <cell r="D178" t="str">
            <v>BEIJING</v>
          </cell>
          <cell r="E178" t="str">
            <v>MARITIMO</v>
          </cell>
          <cell r="F178" t="str">
            <v>KINGO</v>
          </cell>
          <cell r="G178" t="str">
            <v>KINGO SHANGHAI CO.,LTD.</v>
          </cell>
          <cell r="H178" t="str">
            <v>CEREZAS</v>
          </cell>
          <cell r="I178" t="str">
            <v>KORDIA /</v>
          </cell>
          <cell r="J178" t="str">
            <v>ALMAHUE EXPORT</v>
          </cell>
          <cell r="K178" t="str">
            <v>CONS-LIBRE</v>
          </cell>
          <cell r="L178" t="str">
            <v>FOB</v>
          </cell>
          <cell r="M178" t="str">
            <v>3520</v>
          </cell>
          <cell r="N178" t="str">
            <v>743430.39</v>
          </cell>
          <cell r="O178" t="str">
            <v>68158.35</v>
          </cell>
          <cell r="P178" t="str">
            <v>0.00</v>
          </cell>
          <cell r="Q178" t="str">
            <v>545678.80</v>
          </cell>
          <cell r="R178">
            <v>1818</v>
          </cell>
          <cell r="S178" t="str">
            <v>35200.00</v>
          </cell>
          <cell r="T178" t="str">
            <v>31,906,688</v>
          </cell>
          <cell r="V178" t="str">
            <v>0.00</v>
          </cell>
          <cell r="W178">
            <v>0</v>
          </cell>
          <cell r="X178" t="str">
            <v>13181141-1</v>
          </cell>
          <cell r="Y178" t="str">
            <v>06-01-2026</v>
          </cell>
          <cell r="Z178" t="str">
            <v>SI</v>
          </cell>
          <cell r="AA178" t="str">
            <v>NO</v>
          </cell>
          <cell r="AB178" t="str">
            <v>04-08-2026</v>
          </cell>
          <cell r="AC178" t="str">
            <v>Sin Aprobar</v>
          </cell>
        </row>
        <row r="179">
          <cell r="A179">
            <v>274</v>
          </cell>
          <cell r="B179" t="str">
            <v>19-12-2025</v>
          </cell>
          <cell r="C179" t="str">
            <v>24-12-2025</v>
          </cell>
          <cell r="D179" t="str">
            <v>BEIJING</v>
          </cell>
          <cell r="E179" t="str">
            <v>MARITIMO</v>
          </cell>
          <cell r="F179" t="str">
            <v>YOGO</v>
          </cell>
          <cell r="G179" t="str">
            <v>CHENGDU RAILPORT EURASIA IMPORT AND EXPORT TRADE CO.,LTD.</v>
          </cell>
          <cell r="H179" t="str">
            <v>CEREZAS</v>
          </cell>
          <cell r="I179" t="str">
            <v>REGINA /</v>
          </cell>
          <cell r="J179" t="str">
            <v>ALMAHUE EXPORT</v>
          </cell>
          <cell r="K179" t="str">
            <v>CONS-LIBRE</v>
          </cell>
          <cell r="L179" t="str">
            <v>FOB</v>
          </cell>
          <cell r="M179" t="str">
            <v>3544</v>
          </cell>
          <cell r="N179" t="str">
            <v>115832.14</v>
          </cell>
          <cell r="O179" t="str">
            <v>9546.55</v>
          </cell>
          <cell r="P179" t="str">
            <v>0.00</v>
          </cell>
          <cell r="Q179" t="str">
            <v>84267.70</v>
          </cell>
          <cell r="R179">
            <v>1816</v>
          </cell>
          <cell r="S179" t="str">
            <v>35440.00</v>
          </cell>
          <cell r="T179" t="str">
            <v>32,124,234</v>
          </cell>
          <cell r="V179" t="str">
            <v>0.00</v>
          </cell>
          <cell r="W179">
            <v>0</v>
          </cell>
          <cell r="X179" t="str">
            <v>13181179-9</v>
          </cell>
          <cell r="Y179" t="str">
            <v>02-01-2026</v>
          </cell>
          <cell r="Z179" t="str">
            <v>SI</v>
          </cell>
          <cell r="AA179" t="str">
            <v>NO</v>
          </cell>
          <cell r="AB179" t="str">
            <v>31-07-2026</v>
          </cell>
          <cell r="AC179" t="str">
            <v>Sin Aprobar</v>
          </cell>
        </row>
        <row r="180">
          <cell r="A180">
            <v>273</v>
          </cell>
          <cell r="B180" t="str">
            <v>19-12-2025</v>
          </cell>
          <cell r="C180" t="str">
            <v>24-12-2025</v>
          </cell>
          <cell r="D180" t="str">
            <v>BEIJING</v>
          </cell>
          <cell r="E180" t="str">
            <v>MARITIMO</v>
          </cell>
          <cell r="F180" t="str">
            <v>FRUITJOY</v>
          </cell>
          <cell r="G180" t="str">
            <v>SHANGHAI HUI ZHAN INTERNATIONAL TRADE CO., LTD</v>
          </cell>
          <cell r="H180" t="str">
            <v>CEREZAS</v>
          </cell>
          <cell r="I180" t="str">
            <v>REGINA /</v>
          </cell>
          <cell r="J180" t="str">
            <v>ALMAHUE EXPORT</v>
          </cell>
          <cell r="K180" t="str">
            <v>CONS-LIBRE</v>
          </cell>
          <cell r="L180" t="str">
            <v>FOB</v>
          </cell>
          <cell r="M180" t="str">
            <v>3520</v>
          </cell>
          <cell r="N180" t="str">
            <v>78940.36</v>
          </cell>
          <cell r="O180" t="str">
            <v>9589.64</v>
          </cell>
          <cell r="P180" t="str">
            <v>0.00</v>
          </cell>
          <cell r="Q180" t="str">
            <v>53389.30</v>
          </cell>
          <cell r="R180">
            <v>1817</v>
          </cell>
          <cell r="S180" t="str">
            <v>35200.00</v>
          </cell>
          <cell r="T180" t="str">
            <v>31,906,688</v>
          </cell>
          <cell r="V180" t="str">
            <v>0.00</v>
          </cell>
          <cell r="W180">
            <v>0</v>
          </cell>
          <cell r="X180" t="str">
            <v>13181135-7</v>
          </cell>
          <cell r="Y180" t="str">
            <v>06-01-2026</v>
          </cell>
          <cell r="Z180" t="str">
            <v>SI</v>
          </cell>
          <cell r="AA180" t="str">
            <v>NO</v>
          </cell>
          <cell r="AB180" t="str">
            <v>04-08-2026</v>
          </cell>
          <cell r="AC180" t="str">
            <v>Sin Aprobar</v>
          </cell>
        </row>
        <row r="181">
          <cell r="A181">
            <v>272</v>
          </cell>
          <cell r="B181" t="str">
            <v>19-12-2025</v>
          </cell>
          <cell r="C181" t="str">
            <v>23-12-2025</v>
          </cell>
          <cell r="D181" t="str">
            <v>MSC ZLATA R</v>
          </cell>
          <cell r="E181" t="str">
            <v>MARITIMO</v>
          </cell>
          <cell r="F181" t="str">
            <v>HING LEE</v>
          </cell>
          <cell r="G181" t="str">
            <v>SHENZHEN JINSHUN'AN INTERNATIONAL FREIGHT FORWARDING CO.,LTD</v>
          </cell>
          <cell r="H181" t="str">
            <v>CEREZAS</v>
          </cell>
          <cell r="I181" t="str">
            <v>LAPINS /</v>
          </cell>
          <cell r="J181" t="str">
            <v>ALMAHUE EXPORT</v>
          </cell>
          <cell r="K181" t="str">
            <v>CONS-LIBRE</v>
          </cell>
          <cell r="L181" t="str">
            <v>FOB</v>
          </cell>
          <cell r="M181" t="str">
            <v>3560</v>
          </cell>
          <cell r="N181" t="str">
            <v>64719.25</v>
          </cell>
          <cell r="O181" t="str">
            <v>10174.54</v>
          </cell>
          <cell r="P181" t="str">
            <v>0.00</v>
          </cell>
          <cell r="Q181" t="str">
            <v>35682.07</v>
          </cell>
          <cell r="R181">
            <v>1815</v>
          </cell>
          <cell r="S181" t="str">
            <v>35600.00</v>
          </cell>
          <cell r="T181" t="str">
            <v>32,339,040</v>
          </cell>
          <cell r="V181" t="str">
            <v>0.00</v>
          </cell>
          <cell r="W181">
            <v>0</v>
          </cell>
          <cell r="X181" t="str">
            <v>13181563-8</v>
          </cell>
          <cell r="Y181" t="str">
            <v>31-12-2025</v>
          </cell>
          <cell r="Z181" t="str">
            <v>SI</v>
          </cell>
          <cell r="AA181" t="str">
            <v>NO</v>
          </cell>
          <cell r="AB181" t="str">
            <v>29-07-2026</v>
          </cell>
          <cell r="AC181" t="str">
            <v>Sin Aprobar</v>
          </cell>
        </row>
        <row r="182">
          <cell r="A182">
            <v>271</v>
          </cell>
          <cell r="B182" t="str">
            <v>19-12-2025</v>
          </cell>
          <cell r="C182" t="str">
            <v>23-12-2025</v>
          </cell>
          <cell r="D182" t="str">
            <v>MSC ZLATA R</v>
          </cell>
          <cell r="E182" t="str">
            <v>MARITIMO</v>
          </cell>
          <cell r="F182" t="str">
            <v>DORLUNG</v>
          </cell>
          <cell r="G182" t="str">
            <v>SHENZHEN WEI CHENG LI DE TRADE CO.,LTD</v>
          </cell>
          <cell r="H182" t="str">
            <v>CEREZAS</v>
          </cell>
          <cell r="I182" t="str">
            <v>REGINA /</v>
          </cell>
          <cell r="J182" t="str">
            <v>ALMAHUE EXPORT</v>
          </cell>
          <cell r="K182" t="str">
            <v>CONS-LIBRE</v>
          </cell>
          <cell r="L182" t="str">
            <v>FOB</v>
          </cell>
          <cell r="M182" t="str">
            <v>3520</v>
          </cell>
          <cell r="N182" t="str">
            <v>67910.49</v>
          </cell>
          <cell r="O182" t="str">
            <v>10278.00</v>
          </cell>
          <cell r="P182" t="str">
            <v>0.00</v>
          </cell>
          <cell r="Q182" t="str">
            <v>37365.49</v>
          </cell>
          <cell r="R182">
            <v>1814</v>
          </cell>
          <cell r="S182" t="str">
            <v>35200.00</v>
          </cell>
          <cell r="T182" t="str">
            <v>31,975,680</v>
          </cell>
          <cell r="V182" t="str">
            <v>0.00</v>
          </cell>
          <cell r="W182">
            <v>0</v>
          </cell>
          <cell r="X182" t="str">
            <v>13181432-1</v>
          </cell>
          <cell r="Y182" t="str">
            <v>31-12-2025</v>
          </cell>
          <cell r="Z182" t="str">
            <v>SI</v>
          </cell>
          <cell r="AA182" t="str">
            <v>NO</v>
          </cell>
          <cell r="AB182" t="str">
            <v>29-07-2026</v>
          </cell>
          <cell r="AC182" t="str">
            <v>Sin Aprobar</v>
          </cell>
        </row>
        <row r="183">
          <cell r="A183">
            <v>270</v>
          </cell>
          <cell r="B183" t="str">
            <v>19-12-2025</v>
          </cell>
          <cell r="C183" t="str">
            <v>23-12-2025</v>
          </cell>
          <cell r="D183" t="str">
            <v>MSC ZLATA R</v>
          </cell>
          <cell r="E183" t="str">
            <v>MARITIMO</v>
          </cell>
          <cell r="F183" t="str">
            <v>HING LEE</v>
          </cell>
          <cell r="G183" t="str">
            <v>SHENZHEN JINSHUN'AN INTERNATIONAL FREIGHT FORWARDING CO.,LTD</v>
          </cell>
          <cell r="H183" t="str">
            <v>CEREZAS</v>
          </cell>
          <cell r="I183" t="str">
            <v>SKEENA /</v>
          </cell>
          <cell r="J183" t="str">
            <v>ALMAHUE EXPORT</v>
          </cell>
          <cell r="K183" t="str">
            <v>CONS-LIBRE</v>
          </cell>
          <cell r="L183" t="str">
            <v>FOB</v>
          </cell>
          <cell r="M183" t="str">
            <v>3520</v>
          </cell>
          <cell r="N183" t="str">
            <v>74224.49</v>
          </cell>
          <cell r="O183" t="str">
            <v>10174.54</v>
          </cell>
          <cell r="P183" t="str">
            <v>0.00</v>
          </cell>
          <cell r="Q183" t="str">
            <v>42185.04</v>
          </cell>
          <cell r="R183">
            <v>1813</v>
          </cell>
          <cell r="S183" t="str">
            <v>35200.00</v>
          </cell>
          <cell r="T183" t="str">
            <v>31,975,680</v>
          </cell>
          <cell r="V183" t="str">
            <v>0.00</v>
          </cell>
          <cell r="W183">
            <v>0</v>
          </cell>
          <cell r="X183" t="str">
            <v>13181348-1</v>
          </cell>
          <cell r="Y183" t="str">
            <v>31-12-2025</v>
          </cell>
          <cell r="Z183" t="str">
            <v>SI</v>
          </cell>
          <cell r="AA183" t="str">
            <v>NO</v>
          </cell>
          <cell r="AB183" t="str">
            <v>29-07-2026</v>
          </cell>
          <cell r="AC183" t="str">
            <v>Sin Aprobar</v>
          </cell>
        </row>
        <row r="184">
          <cell r="A184">
            <v>269</v>
          </cell>
          <cell r="B184" t="str">
            <v>18-12-2025</v>
          </cell>
          <cell r="C184" t="str">
            <v>20-12-2025</v>
          </cell>
          <cell r="D184" t="str">
            <v>MSC LEIGH</v>
          </cell>
          <cell r="E184" t="str">
            <v>MARITIMO</v>
          </cell>
          <cell r="F184" t="str">
            <v>FRUITJOY</v>
          </cell>
          <cell r="G184" t="str">
            <v>ZHIYOU FRESH (SHENZHEN) CO.,LTD</v>
          </cell>
          <cell r="H184" t="str">
            <v>CEREZAS</v>
          </cell>
          <cell r="I184" t="str">
            <v>KORDIA / LAPINS /</v>
          </cell>
          <cell r="J184" t="str">
            <v>ALMAHUE EXPORT</v>
          </cell>
          <cell r="K184" t="str">
            <v>CONS-LIBRE</v>
          </cell>
          <cell r="L184" t="str">
            <v>FOB</v>
          </cell>
          <cell r="M184" t="str">
            <v>3520</v>
          </cell>
          <cell r="N184" t="str">
            <v>99110.32</v>
          </cell>
          <cell r="O184" t="str">
            <v>9795.17</v>
          </cell>
          <cell r="P184" t="str">
            <v>0.00</v>
          </cell>
          <cell r="Q184" t="str">
            <v>70068.31</v>
          </cell>
          <cell r="R184">
            <v>1806</v>
          </cell>
          <cell r="S184" t="str">
            <v>35200.00</v>
          </cell>
          <cell r="T184" t="str">
            <v>32,207,648</v>
          </cell>
          <cell r="V184" t="str">
            <v>0.00</v>
          </cell>
          <cell r="W184">
            <v>0</v>
          </cell>
          <cell r="X184" t="str">
            <v>13173817-K</v>
          </cell>
          <cell r="Y184" t="str">
            <v>30-12-2025</v>
          </cell>
          <cell r="Z184" t="str">
            <v>SI</v>
          </cell>
          <cell r="AA184" t="str">
            <v>NO</v>
          </cell>
          <cell r="AB184" t="str">
            <v>28-07-2026</v>
          </cell>
          <cell r="AC184" t="str">
            <v>Sin Aprobar</v>
          </cell>
        </row>
        <row r="185">
          <cell r="A185">
            <v>268</v>
          </cell>
          <cell r="B185" t="str">
            <v>18-12-2025</v>
          </cell>
          <cell r="C185" t="str">
            <v>20-12-2025</v>
          </cell>
          <cell r="D185" t="str">
            <v>LIMA EXPRESS</v>
          </cell>
          <cell r="E185" t="str">
            <v>MARITIMO</v>
          </cell>
          <cell r="F185" t="str">
            <v>YOGO</v>
          </cell>
          <cell r="G185" t="str">
            <v>CHENGDU RAILPORT EURASIA IMPORT AND EXPORT TRADE CO.,LTD.</v>
          </cell>
          <cell r="H185" t="str">
            <v>CEREZAS</v>
          </cell>
          <cell r="I185" t="str">
            <v>LAPINS /</v>
          </cell>
          <cell r="J185" t="str">
            <v>ALMAHUE EXPORT</v>
          </cell>
          <cell r="K185" t="str">
            <v>CONS-LIBRE</v>
          </cell>
          <cell r="L185" t="str">
            <v>FOB</v>
          </cell>
          <cell r="M185" t="str">
            <v>3552</v>
          </cell>
          <cell r="N185" t="str">
            <v>68503.49</v>
          </cell>
          <cell r="O185" t="str">
            <v>10034.09</v>
          </cell>
          <cell r="P185" t="str">
            <v>0.00</v>
          </cell>
          <cell r="Q185" t="str">
            <v>38361.51</v>
          </cell>
          <cell r="R185">
            <v>1799</v>
          </cell>
          <cell r="S185" t="str">
            <v>35520.00</v>
          </cell>
          <cell r="T185" t="str">
            <v>32,500,445</v>
          </cell>
          <cell r="V185" t="str">
            <v>0.00</v>
          </cell>
          <cell r="W185">
            <v>0</v>
          </cell>
          <cell r="X185" t="str">
            <v>13178288-8</v>
          </cell>
          <cell r="Y185" t="str">
            <v>29-12-2025</v>
          </cell>
          <cell r="Z185" t="str">
            <v>SI</v>
          </cell>
          <cell r="AA185" t="str">
            <v>NO</v>
          </cell>
          <cell r="AB185" t="str">
            <v>27-07-2026</v>
          </cell>
          <cell r="AC185" t="str">
            <v>Sin Aprobar</v>
          </cell>
        </row>
        <row r="186">
          <cell r="A186">
            <v>267</v>
          </cell>
          <cell r="B186" t="str">
            <v>18-12-2025</v>
          </cell>
          <cell r="C186" t="str">
            <v>20-12-2025</v>
          </cell>
          <cell r="D186" t="str">
            <v>MSC LEIGH</v>
          </cell>
          <cell r="E186" t="str">
            <v>MARITIMO</v>
          </cell>
          <cell r="F186" t="str">
            <v>KINGO</v>
          </cell>
          <cell r="G186" t="str">
            <v>KINGO SHANGHAI CO.,LTD.</v>
          </cell>
          <cell r="H186" t="str">
            <v>CEREZAS</v>
          </cell>
          <cell r="I186" t="str">
            <v>LAPINS /</v>
          </cell>
          <cell r="J186" t="str">
            <v>ALMAHUE EXPORT</v>
          </cell>
          <cell r="K186" t="str">
            <v>CONS-LIBRE</v>
          </cell>
          <cell r="L186" t="str">
            <v>FOB</v>
          </cell>
          <cell r="M186" t="str">
            <v>3544</v>
          </cell>
          <cell r="N186" t="str">
            <v>484559.54</v>
          </cell>
          <cell r="O186" t="str">
            <v>69801.10</v>
          </cell>
          <cell r="P186" t="str">
            <v>0.00</v>
          </cell>
          <cell r="Q186" t="str">
            <v>324676.65</v>
          </cell>
          <cell r="R186">
            <v>1810</v>
          </cell>
          <cell r="S186" t="str">
            <v>35440.00</v>
          </cell>
          <cell r="T186" t="str">
            <v>32,427,246</v>
          </cell>
          <cell r="V186" t="str">
            <v>0.00</v>
          </cell>
          <cell r="W186">
            <v>0</v>
          </cell>
          <cell r="X186" t="str">
            <v>13174496-K</v>
          </cell>
          <cell r="Y186" t="str">
            <v>30-12-2025</v>
          </cell>
          <cell r="Z186" t="str">
            <v>SI</v>
          </cell>
          <cell r="AA186" t="str">
            <v>NO</v>
          </cell>
          <cell r="AB186" t="str">
            <v>28-07-2026</v>
          </cell>
          <cell r="AC186" t="str">
            <v>Sin Aprobar</v>
          </cell>
        </row>
        <row r="187">
          <cell r="A187">
            <v>266</v>
          </cell>
          <cell r="B187" t="str">
            <v>18-12-2025</v>
          </cell>
          <cell r="C187" t="str">
            <v>20-12-2025</v>
          </cell>
          <cell r="D187" t="str">
            <v>MSC LEIGH</v>
          </cell>
          <cell r="E187" t="str">
            <v>MARITIMO</v>
          </cell>
          <cell r="F187" t="str">
            <v>ZEGOO</v>
          </cell>
          <cell r="G187" t="str">
            <v>ZHEJIANG OHENG IMPORT &amp; EXPORT CO., LTD.</v>
          </cell>
          <cell r="H187" t="str">
            <v>CEREZAS</v>
          </cell>
          <cell r="I187" t="str">
            <v>LAPINS /</v>
          </cell>
          <cell r="J187" t="str">
            <v>ALMAHUE EXPORT</v>
          </cell>
          <cell r="K187" t="str">
            <v>CONS-LIBRE</v>
          </cell>
          <cell r="L187" t="str">
            <v>FOB</v>
          </cell>
          <cell r="M187" t="str">
            <v>3552</v>
          </cell>
          <cell r="N187" t="str">
            <v>748280.00</v>
          </cell>
          <cell r="O187" t="str">
            <v>70017.84</v>
          </cell>
          <cell r="P187" t="str">
            <v>0.00</v>
          </cell>
          <cell r="Q187" t="str">
            <v>547210.08</v>
          </cell>
          <cell r="R187">
            <v>1809</v>
          </cell>
          <cell r="S187" t="str">
            <v>35520.00</v>
          </cell>
          <cell r="T187" t="str">
            <v>32,500,445</v>
          </cell>
          <cell r="V187" t="str">
            <v>0.00</v>
          </cell>
          <cell r="W187">
            <v>0</v>
          </cell>
          <cell r="X187" t="str">
            <v>13173867-6</v>
          </cell>
          <cell r="Y187" t="str">
            <v>30-12-2025</v>
          </cell>
          <cell r="Z187" t="str">
            <v>SI</v>
          </cell>
          <cell r="AA187" t="str">
            <v>NO</v>
          </cell>
          <cell r="AB187" t="str">
            <v>28-07-2026</v>
          </cell>
          <cell r="AC187" t="str">
            <v>Sin Aprobar</v>
          </cell>
        </row>
        <row r="188">
          <cell r="A188">
            <v>265</v>
          </cell>
          <cell r="B188" t="str">
            <v>18-12-2025</v>
          </cell>
          <cell r="C188" t="str">
            <v>20-12-2025</v>
          </cell>
          <cell r="D188" t="str">
            <v>MSC LEIGH</v>
          </cell>
          <cell r="E188" t="str">
            <v>MARITIMO</v>
          </cell>
          <cell r="F188" t="str">
            <v>CHEN SUN</v>
          </cell>
          <cell r="G188" t="str">
            <v>LUSHANG INTERNATIONAL TRADE CO., LTD.</v>
          </cell>
          <cell r="H188" t="str">
            <v>CEREZAS</v>
          </cell>
          <cell r="I188" t="str">
            <v>KORDIA /</v>
          </cell>
          <cell r="J188" t="str">
            <v>ALMAHUE EXPORT</v>
          </cell>
          <cell r="K188" t="str">
            <v>CONS-LIBRE</v>
          </cell>
          <cell r="L188" t="str">
            <v>FOB</v>
          </cell>
          <cell r="M188" t="str">
            <v>5392</v>
          </cell>
          <cell r="N188" t="str">
            <v>802040.96</v>
          </cell>
          <cell r="O188" t="str">
            <v>69918.00</v>
          </cell>
          <cell r="P188" t="str">
            <v>0.00</v>
          </cell>
          <cell r="Q188" t="str">
            <v>568868.09</v>
          </cell>
          <cell r="R188">
            <v>1804</v>
          </cell>
          <cell r="S188" t="str">
            <v>36640.00</v>
          </cell>
          <cell r="T188" t="str">
            <v>33,525,234</v>
          </cell>
          <cell r="V188" t="str">
            <v>0.00</v>
          </cell>
          <cell r="W188">
            <v>0</v>
          </cell>
          <cell r="X188" t="str">
            <v>13175405-1</v>
          </cell>
          <cell r="Y188" t="str">
            <v>30-12-2025</v>
          </cell>
          <cell r="Z188" t="str">
            <v>SI</v>
          </cell>
          <cell r="AA188" t="str">
            <v>NO</v>
          </cell>
          <cell r="AB188" t="str">
            <v>28-07-2026</v>
          </cell>
          <cell r="AC188" t="str">
            <v>Sin Aprobar</v>
          </cell>
        </row>
        <row r="189">
          <cell r="A189">
            <v>264</v>
          </cell>
          <cell r="B189" t="str">
            <v>17-12-2025</v>
          </cell>
          <cell r="C189" t="str">
            <v>20-12-2025</v>
          </cell>
          <cell r="D189" t="str">
            <v>LIMA EXPRESS</v>
          </cell>
          <cell r="E189" t="str">
            <v>MARITIMO</v>
          </cell>
          <cell r="F189" t="str">
            <v>FRUITJOY</v>
          </cell>
          <cell r="G189" t="str">
            <v>ZHIYOU FRESH (SHENZHEN) CO.,LTD</v>
          </cell>
          <cell r="H189" t="str">
            <v>CEREZAS</v>
          </cell>
          <cell r="I189" t="str">
            <v>LAPINS / SKEENA /</v>
          </cell>
          <cell r="J189" t="str">
            <v>ALMAHUE EXPORT</v>
          </cell>
          <cell r="K189" t="str">
            <v>CONS-LIBRE</v>
          </cell>
          <cell r="L189" t="str">
            <v>FOB</v>
          </cell>
          <cell r="M189" t="str">
            <v>3520</v>
          </cell>
          <cell r="N189" t="str">
            <v>117759.97</v>
          </cell>
          <cell r="O189" t="str">
            <v>9471.66</v>
          </cell>
          <cell r="P189" t="str">
            <v>0.00</v>
          </cell>
          <cell r="Q189" t="str">
            <v>84325.72</v>
          </cell>
          <cell r="R189">
            <v>1795</v>
          </cell>
          <cell r="S189" t="str">
            <v>35200.00</v>
          </cell>
          <cell r="T189" t="str">
            <v>32,207,648</v>
          </cell>
          <cell r="V189" t="str">
            <v>0.00</v>
          </cell>
          <cell r="W189">
            <v>0</v>
          </cell>
          <cell r="X189" t="str">
            <v>13171361-4</v>
          </cell>
          <cell r="Y189" t="str">
            <v>31-12-2025</v>
          </cell>
          <cell r="Z189" t="str">
            <v>SI</v>
          </cell>
          <cell r="AA189" t="str">
            <v>NO</v>
          </cell>
          <cell r="AB189" t="str">
            <v>29-07-2026</v>
          </cell>
          <cell r="AC189" t="str">
            <v>Sin Aprobar</v>
          </cell>
        </row>
        <row r="190">
          <cell r="A190">
            <v>263</v>
          </cell>
          <cell r="B190" t="str">
            <v>17-12-2025</v>
          </cell>
          <cell r="C190" t="str">
            <v>20-12-2025</v>
          </cell>
          <cell r="D190" t="str">
            <v>LIMA EXPRESS</v>
          </cell>
          <cell r="E190" t="str">
            <v>MARITIMO</v>
          </cell>
          <cell r="F190" t="str">
            <v>HING LEE</v>
          </cell>
          <cell r="G190" t="str">
            <v>SHENZHEN JIANRONG JIAYE TRADE CO., LTD</v>
          </cell>
          <cell r="H190" t="str">
            <v>CEREZAS</v>
          </cell>
          <cell r="I190" t="str">
            <v>LAPINS /</v>
          </cell>
          <cell r="J190" t="str">
            <v>ALMAHUE EXPORT</v>
          </cell>
          <cell r="K190" t="str">
            <v>CONS-LIBRE</v>
          </cell>
          <cell r="L190" t="str">
            <v>FOB</v>
          </cell>
          <cell r="M190" t="str">
            <v>3520</v>
          </cell>
          <cell r="N190" t="str">
            <v>67222.47</v>
          </cell>
          <cell r="O190" t="str">
            <v>9800.73</v>
          </cell>
          <cell r="P190" t="str">
            <v>0.00</v>
          </cell>
          <cell r="Q190" t="str">
            <v>36289.79</v>
          </cell>
          <cell r="R190">
            <v>1793</v>
          </cell>
          <cell r="S190" t="str">
            <v>35200.00</v>
          </cell>
          <cell r="T190" t="str">
            <v>32,207,648</v>
          </cell>
          <cell r="V190" t="str">
            <v>0.00</v>
          </cell>
          <cell r="W190">
            <v>0</v>
          </cell>
          <cell r="X190" t="str">
            <v>13171623-0</v>
          </cell>
          <cell r="Y190" t="str">
            <v>31-12-2025</v>
          </cell>
          <cell r="Z190" t="str">
            <v>SI</v>
          </cell>
          <cell r="AA190" t="str">
            <v>NO</v>
          </cell>
          <cell r="AB190" t="str">
            <v>29-07-2026</v>
          </cell>
          <cell r="AC190" t="str">
            <v>Sin Aprobar</v>
          </cell>
        </row>
        <row r="191">
          <cell r="A191">
            <v>262</v>
          </cell>
          <cell r="B191" t="str">
            <v>17-12-2025</v>
          </cell>
          <cell r="C191" t="str">
            <v>20-12-2025</v>
          </cell>
          <cell r="D191" t="str">
            <v>LIMA EXPRESS</v>
          </cell>
          <cell r="E191" t="str">
            <v>MARITIMO</v>
          </cell>
          <cell r="F191" t="str">
            <v>KINGO</v>
          </cell>
          <cell r="G191" t="str">
            <v>SHENZHEN FANYA XIANSHIHUI CO.,LTD</v>
          </cell>
          <cell r="H191" t="str">
            <v>CEREZAS</v>
          </cell>
          <cell r="I191" t="str">
            <v>LAPINS /</v>
          </cell>
          <cell r="J191" t="str">
            <v>ALMAHUE EXPORT</v>
          </cell>
          <cell r="K191" t="str">
            <v>CONS-LIBRE</v>
          </cell>
          <cell r="L191" t="str">
            <v>FOB</v>
          </cell>
          <cell r="M191" t="str">
            <v>3520</v>
          </cell>
          <cell r="N191" t="str">
            <v>679540.09</v>
          </cell>
          <cell r="O191" t="str">
            <v>71873.03</v>
          </cell>
          <cell r="P191" t="str">
            <v>0.00</v>
          </cell>
          <cell r="Q191" t="str">
            <v>476367.93</v>
          </cell>
          <cell r="R191">
            <v>1798</v>
          </cell>
          <cell r="S191" t="str">
            <v>35200.00</v>
          </cell>
          <cell r="T191" t="str">
            <v>32,207,648</v>
          </cell>
          <cell r="V191" t="str">
            <v>0.00</v>
          </cell>
          <cell r="W191">
            <v>0</v>
          </cell>
          <cell r="X191" t="str">
            <v>13171272-3</v>
          </cell>
          <cell r="Y191" t="str">
            <v>31-12-2025</v>
          </cell>
          <cell r="Z191" t="str">
            <v>SI</v>
          </cell>
          <cell r="AA191" t="str">
            <v>NO</v>
          </cell>
          <cell r="AB191" t="str">
            <v>29-07-2026</v>
          </cell>
          <cell r="AC191" t="str">
            <v>Sin Aprobar</v>
          </cell>
        </row>
        <row r="192">
          <cell r="A192">
            <v>261</v>
          </cell>
          <cell r="B192" t="str">
            <v>18-12-2025</v>
          </cell>
          <cell r="C192" t="str">
            <v>20-12-2025</v>
          </cell>
          <cell r="D192" t="str">
            <v>MSC LEIGH</v>
          </cell>
          <cell r="E192" t="str">
            <v>MARITIMO</v>
          </cell>
          <cell r="F192" t="str">
            <v>PAGODA</v>
          </cell>
          <cell r="G192" t="str">
            <v>SHANGHAI HUI ZHAN INTERNATIONAL TRADE CO., LTD</v>
          </cell>
          <cell r="H192" t="str">
            <v>CEREZAS</v>
          </cell>
          <cell r="I192" t="str">
            <v>LAPINS /</v>
          </cell>
          <cell r="J192" t="str">
            <v>ALMAHUE EXPORT</v>
          </cell>
          <cell r="K192" t="str">
            <v>CONS-LIBRE</v>
          </cell>
          <cell r="L192" t="str">
            <v>FOB</v>
          </cell>
          <cell r="M192" t="str">
            <v>3520</v>
          </cell>
          <cell r="N192" t="str">
            <v>81586.56</v>
          </cell>
          <cell r="O192" t="str">
            <v>9919.30</v>
          </cell>
          <cell r="P192" t="str">
            <v>0.00</v>
          </cell>
          <cell r="Q192" t="str">
            <v>54744.99</v>
          </cell>
          <cell r="R192">
            <v>1808</v>
          </cell>
          <cell r="S192" t="str">
            <v>35200.00</v>
          </cell>
          <cell r="T192" t="str">
            <v>32,207,648</v>
          </cell>
          <cell r="V192" t="str">
            <v>0.00</v>
          </cell>
          <cell r="W192">
            <v>0</v>
          </cell>
          <cell r="X192" t="str">
            <v>13175455-8</v>
          </cell>
          <cell r="Y192" t="str">
            <v>30-12-2025</v>
          </cell>
          <cell r="Z192" t="str">
            <v>SI</v>
          </cell>
          <cell r="AA192" t="str">
            <v>NO</v>
          </cell>
          <cell r="AB192" t="str">
            <v>28-07-2026</v>
          </cell>
          <cell r="AC192" t="str">
            <v>Sin Aprobar</v>
          </cell>
        </row>
        <row r="193">
          <cell r="A193">
            <v>260</v>
          </cell>
          <cell r="B193" t="str">
            <v>19-12-2025</v>
          </cell>
          <cell r="C193" t="str">
            <v>20-12-2025</v>
          </cell>
          <cell r="D193" t="str">
            <v>MSC LEIGH</v>
          </cell>
          <cell r="E193" t="str">
            <v>MARITIMO</v>
          </cell>
          <cell r="F193" t="str">
            <v>HUASHENG</v>
          </cell>
          <cell r="G193" t="str">
            <v>CHUN WAN YI (GUANGZHOU) SUPPLY CHAIN MANAGEMENT CO., LTD</v>
          </cell>
          <cell r="H193" t="str">
            <v>CEREZAS</v>
          </cell>
          <cell r="I193" t="str">
            <v>LAPINS / REGINA /</v>
          </cell>
          <cell r="J193" t="str">
            <v>ALMAHUE EXPORT</v>
          </cell>
          <cell r="K193" t="str">
            <v>CONS-LIBRE</v>
          </cell>
          <cell r="L193" t="str">
            <v>FOB</v>
          </cell>
          <cell r="M193" t="str">
            <v>3520</v>
          </cell>
          <cell r="N193" t="str">
            <v>33249.62</v>
          </cell>
          <cell r="O193" t="str">
            <v>9820.47</v>
          </cell>
          <cell r="P193" t="str">
            <v>0.00</v>
          </cell>
          <cell r="Q193" t="str">
            <v>12188.48</v>
          </cell>
          <cell r="R193">
            <v>1807</v>
          </cell>
          <cell r="S193" t="str">
            <v>35200.00</v>
          </cell>
          <cell r="T193" t="str">
            <v>32,207,648</v>
          </cell>
          <cell r="V193" t="str">
            <v>0.00</v>
          </cell>
          <cell r="W193">
            <v>0</v>
          </cell>
          <cell r="X193" t="str">
            <v>13175430-2</v>
          </cell>
          <cell r="Y193" t="str">
            <v>30-12-2025</v>
          </cell>
          <cell r="Z193" t="str">
            <v>SI</v>
          </cell>
          <cell r="AA193" t="str">
            <v>NO</v>
          </cell>
          <cell r="AB193" t="str">
            <v>28-07-2026</v>
          </cell>
          <cell r="AC193" t="str">
            <v>Sin Aprobar</v>
          </cell>
        </row>
        <row r="194">
          <cell r="A194">
            <v>259</v>
          </cell>
          <cell r="B194" t="str">
            <v>18-12-2025</v>
          </cell>
          <cell r="C194" t="str">
            <v>20-12-2025</v>
          </cell>
          <cell r="D194" t="str">
            <v>MSC LEIGH</v>
          </cell>
          <cell r="E194" t="str">
            <v>MARITIMO</v>
          </cell>
          <cell r="F194" t="str">
            <v>XINGWAN</v>
          </cell>
          <cell r="G194" t="str">
            <v>ZHEJIANG OHENG IMPORT &amp; EXPORT CO.,LTD.</v>
          </cell>
          <cell r="H194" t="str">
            <v>CEREZAS</v>
          </cell>
          <cell r="I194" t="str">
            <v>LAPINS /</v>
          </cell>
          <cell r="J194" t="str">
            <v>ALMAHUE EXPORT</v>
          </cell>
          <cell r="K194" t="str">
            <v>CONS-LIBRE</v>
          </cell>
          <cell r="L194" t="str">
            <v>FOB</v>
          </cell>
          <cell r="M194" t="str">
            <v>3520</v>
          </cell>
          <cell r="N194" t="str">
            <v>369480.32</v>
          </cell>
          <cell r="O194" t="str">
            <v>70017.84</v>
          </cell>
          <cell r="P194" t="str">
            <v>0.00</v>
          </cell>
          <cell r="Q194" t="str">
            <v>183377.42</v>
          </cell>
          <cell r="R194">
            <v>1805</v>
          </cell>
          <cell r="S194" t="str">
            <v>35200.00</v>
          </cell>
          <cell r="T194" t="str">
            <v>32,207,648</v>
          </cell>
          <cell r="V194" t="str">
            <v>0.00</v>
          </cell>
          <cell r="W194">
            <v>0</v>
          </cell>
          <cell r="X194" t="str">
            <v>13174685-7</v>
          </cell>
          <cell r="Y194" t="str">
            <v>30-12-2025</v>
          </cell>
          <cell r="Z194" t="str">
            <v>SI</v>
          </cell>
          <cell r="AA194" t="str">
            <v>NO</v>
          </cell>
          <cell r="AB194" t="str">
            <v>28-07-2026</v>
          </cell>
          <cell r="AC194" t="str">
            <v>Sin Aprobar</v>
          </cell>
        </row>
        <row r="195">
          <cell r="A195">
            <v>258</v>
          </cell>
          <cell r="B195" t="str">
            <v>18-12-2025</v>
          </cell>
          <cell r="C195" t="str">
            <v>20-12-2025</v>
          </cell>
          <cell r="D195" t="str">
            <v>MSC LEIGH</v>
          </cell>
          <cell r="E195" t="str">
            <v>MARITIMO</v>
          </cell>
          <cell r="F195" t="str">
            <v>FRUITJOY</v>
          </cell>
          <cell r="G195" t="str">
            <v>ZHIYOU FRESH (SHENZHEN) CO.,LTD</v>
          </cell>
          <cell r="H195" t="str">
            <v>CEREZAS</v>
          </cell>
          <cell r="I195" t="str">
            <v>LAPINS / REGINA /</v>
          </cell>
          <cell r="J195" t="str">
            <v>ALMAHUE EXPORT</v>
          </cell>
          <cell r="K195" t="str">
            <v>CONS-LIBRE</v>
          </cell>
          <cell r="L195" t="str">
            <v>FOB</v>
          </cell>
          <cell r="M195" t="str">
            <v>3520</v>
          </cell>
          <cell r="N195" t="str">
            <v>105945.13</v>
          </cell>
          <cell r="O195" t="str">
            <v>9795.17</v>
          </cell>
          <cell r="P195" t="str">
            <v>0.00</v>
          </cell>
          <cell r="Q195" t="str">
            <v>76166.99</v>
          </cell>
          <cell r="R195">
            <v>1803</v>
          </cell>
          <cell r="S195" t="str">
            <v>35200.00</v>
          </cell>
          <cell r="T195" t="str">
            <v>32,207,648</v>
          </cell>
          <cell r="V195" t="str">
            <v>0.00</v>
          </cell>
          <cell r="W195">
            <v>0</v>
          </cell>
          <cell r="X195" t="str">
            <v>13174529-K</v>
          </cell>
          <cell r="Y195" t="str">
            <v>30-12-2025</v>
          </cell>
          <cell r="Z195" t="str">
            <v>SI</v>
          </cell>
          <cell r="AA195" t="str">
            <v>NO</v>
          </cell>
          <cell r="AB195" t="str">
            <v>28-07-2026</v>
          </cell>
          <cell r="AC195" t="str">
            <v>Sin Aprobar</v>
          </cell>
        </row>
        <row r="196">
          <cell r="A196">
            <v>257</v>
          </cell>
          <cell r="B196" t="str">
            <v>19-12-2025</v>
          </cell>
          <cell r="C196" t="str">
            <v>20-12-2025</v>
          </cell>
          <cell r="D196" t="str">
            <v>MSC LEIGH</v>
          </cell>
          <cell r="E196" t="str">
            <v>MARITIMO</v>
          </cell>
          <cell r="F196" t="str">
            <v>SUNHOLA</v>
          </cell>
          <cell r="G196" t="str">
            <v>HUBEI SHOUHENG SUPPLY CHAIN MANAGEMENT CO. , LTD</v>
          </cell>
          <cell r="H196" t="str">
            <v>CEREZAS</v>
          </cell>
          <cell r="I196" t="str">
            <v>LAPINS /</v>
          </cell>
          <cell r="J196" t="str">
            <v>ALMAHUE EXPORT</v>
          </cell>
          <cell r="K196" t="str">
            <v>CONS-LIBRE</v>
          </cell>
          <cell r="L196" t="str">
            <v>FOB</v>
          </cell>
          <cell r="M196" t="str">
            <v>3544</v>
          </cell>
          <cell r="N196" t="str">
            <v>353500.00</v>
          </cell>
          <cell r="O196" t="str">
            <v>70017.84</v>
          </cell>
          <cell r="P196" t="str">
            <v>0.00</v>
          </cell>
          <cell r="Q196" t="str">
            <v>183068.06</v>
          </cell>
          <cell r="R196">
            <v>1802</v>
          </cell>
          <cell r="S196" t="str">
            <v>35440.00</v>
          </cell>
          <cell r="T196" t="str">
            <v>32,427,246</v>
          </cell>
          <cell r="V196" t="str">
            <v>0.00</v>
          </cell>
          <cell r="W196">
            <v>0</v>
          </cell>
          <cell r="X196" t="str">
            <v>13175471-K</v>
          </cell>
          <cell r="Y196" t="str">
            <v>30-12-2025</v>
          </cell>
          <cell r="Z196" t="str">
            <v>SI</v>
          </cell>
          <cell r="AA196" t="str">
            <v>NO</v>
          </cell>
          <cell r="AB196" t="str">
            <v>28-07-2026</v>
          </cell>
          <cell r="AC196" t="str">
            <v>Sin Aprobar</v>
          </cell>
        </row>
        <row r="197">
          <cell r="A197">
            <v>256</v>
          </cell>
          <cell r="B197" t="str">
            <v>18-12-2025</v>
          </cell>
          <cell r="C197" t="str">
            <v>20-12-2025</v>
          </cell>
          <cell r="D197" t="str">
            <v>MSC LEIGH</v>
          </cell>
          <cell r="E197" t="str">
            <v>MARITIMO</v>
          </cell>
          <cell r="F197" t="str">
            <v>SANGO</v>
          </cell>
          <cell r="G197" t="str">
            <v>ZHEJIANG OHENG IMPORT &amp; EXPORT CO.,LTD.</v>
          </cell>
          <cell r="H197" t="str">
            <v>CEREZAS</v>
          </cell>
          <cell r="I197" t="str">
            <v>LAPINS / REGINA /</v>
          </cell>
          <cell r="J197" t="str">
            <v>ALMAHUE EXPORT</v>
          </cell>
          <cell r="K197" t="str">
            <v>CONS-LIBRE</v>
          </cell>
          <cell r="L197" t="str">
            <v>FOB</v>
          </cell>
          <cell r="M197" t="str">
            <v>3560</v>
          </cell>
          <cell r="N197" t="str">
            <v>741140.00</v>
          </cell>
          <cell r="O197" t="str">
            <v>70017.84</v>
          </cell>
          <cell r="P197" t="str">
            <v>0.00</v>
          </cell>
          <cell r="Q197" t="str">
            <v>547240.72</v>
          </cell>
          <cell r="R197">
            <v>1801</v>
          </cell>
          <cell r="S197" t="str">
            <v>35600.00</v>
          </cell>
          <cell r="T197" t="str">
            <v>32,573,644</v>
          </cell>
          <cell r="V197" t="str">
            <v>0.00</v>
          </cell>
          <cell r="W197">
            <v>0</v>
          </cell>
          <cell r="X197" t="str">
            <v>13174472-2</v>
          </cell>
          <cell r="Y197" t="str">
            <v>30-12-2025</v>
          </cell>
          <cell r="Z197" t="str">
            <v>SI</v>
          </cell>
          <cell r="AA197" t="str">
            <v>NO</v>
          </cell>
          <cell r="AB197" t="str">
            <v>28-07-2026</v>
          </cell>
          <cell r="AC197" t="str">
            <v>Sin Aprobar</v>
          </cell>
        </row>
        <row r="198">
          <cell r="A198">
            <v>255</v>
          </cell>
          <cell r="B198" t="str">
            <v>18-12-2025</v>
          </cell>
          <cell r="C198" t="str">
            <v>20-12-2025</v>
          </cell>
          <cell r="D198" t="str">
            <v>MSC LEIGH</v>
          </cell>
          <cell r="E198" t="str">
            <v>MARITIMO</v>
          </cell>
          <cell r="F198" t="str">
            <v>SANGO</v>
          </cell>
          <cell r="G198" t="str">
            <v>ZHEJIANG OHENG IMPORT &amp; EXPORT CO.,LTD.</v>
          </cell>
          <cell r="H198" t="str">
            <v>CEREZAS</v>
          </cell>
          <cell r="I198" t="str">
            <v>KORDIA /</v>
          </cell>
          <cell r="J198" t="str">
            <v>ALMAHUE EXPORT</v>
          </cell>
          <cell r="K198" t="str">
            <v>CONS-LIBRE</v>
          </cell>
          <cell r="L198" t="str">
            <v>FOB</v>
          </cell>
          <cell r="M198" t="str">
            <v>3520</v>
          </cell>
          <cell r="N198" t="str">
            <v>350080.00</v>
          </cell>
          <cell r="O198" t="str">
            <v>66514.24</v>
          </cell>
          <cell r="P198" t="str">
            <v>0.00</v>
          </cell>
          <cell r="Q198" t="str">
            <v>186661.39</v>
          </cell>
          <cell r="R198">
            <v>1800</v>
          </cell>
          <cell r="S198" t="str">
            <v>35200.00</v>
          </cell>
          <cell r="T198" t="str">
            <v>32,207,648</v>
          </cell>
          <cell r="V198" t="str">
            <v>0.00</v>
          </cell>
          <cell r="W198">
            <v>0</v>
          </cell>
          <cell r="X198" t="str">
            <v>13175700-K</v>
          </cell>
          <cell r="Y198" t="str">
            <v>02-01-2026</v>
          </cell>
          <cell r="Z198" t="str">
            <v>SI</v>
          </cell>
          <cell r="AA198" t="str">
            <v>NO</v>
          </cell>
          <cell r="AB198" t="str">
            <v>31-07-2026</v>
          </cell>
          <cell r="AC198" t="str">
            <v>Sin Aprobar</v>
          </cell>
        </row>
        <row r="199">
          <cell r="A199">
            <v>254</v>
          </cell>
          <cell r="B199" t="str">
            <v>17-12-2025</v>
          </cell>
          <cell r="C199" t="str">
            <v>20-12-2025</v>
          </cell>
          <cell r="D199" t="str">
            <v>LIMA EXPRESS</v>
          </cell>
          <cell r="E199" t="str">
            <v>MARITIMO</v>
          </cell>
          <cell r="F199" t="str">
            <v>HING LEE</v>
          </cell>
          <cell r="G199" t="str">
            <v>SHENZHEN JINSHUN'AN INTERNATIONAL FREIGHT FORWARDING CO.,LTD</v>
          </cell>
          <cell r="H199" t="str">
            <v>CEREZAS</v>
          </cell>
          <cell r="I199" t="str">
            <v>LAPINS /</v>
          </cell>
          <cell r="J199" t="str">
            <v>ALMAHUE EXPORT</v>
          </cell>
          <cell r="K199" t="str">
            <v>CONS-LIBRE</v>
          </cell>
          <cell r="L199" t="str">
            <v>FOB</v>
          </cell>
          <cell r="M199" t="str">
            <v>3552</v>
          </cell>
          <cell r="N199" t="str">
            <v>58995.69</v>
          </cell>
          <cell r="O199" t="str">
            <v>10475.75</v>
          </cell>
          <cell r="P199" t="str">
            <v>0.00</v>
          </cell>
          <cell r="Q199" t="str">
            <v>28762.03</v>
          </cell>
          <cell r="R199">
            <v>1792</v>
          </cell>
          <cell r="S199" t="str">
            <v>35520.00</v>
          </cell>
          <cell r="T199" t="str">
            <v>32,500,445</v>
          </cell>
          <cell r="V199" t="str">
            <v>0.00</v>
          </cell>
          <cell r="W199">
            <v>0</v>
          </cell>
          <cell r="X199" t="str">
            <v>13171165-4</v>
          </cell>
          <cell r="Y199" t="str">
            <v>30-12-2025</v>
          </cell>
          <cell r="Z199" t="str">
            <v>SI</v>
          </cell>
          <cell r="AA199" t="str">
            <v>NO</v>
          </cell>
          <cell r="AB199" t="str">
            <v>28-07-2026</v>
          </cell>
          <cell r="AC199" t="str">
            <v>Sin Aprobar</v>
          </cell>
        </row>
        <row r="200">
          <cell r="A200">
            <v>253</v>
          </cell>
          <cell r="B200" t="str">
            <v>17-12-2025</v>
          </cell>
          <cell r="C200" t="str">
            <v>20-12-2025</v>
          </cell>
          <cell r="D200" t="str">
            <v>LIMA EXPRESS</v>
          </cell>
          <cell r="E200" t="str">
            <v>MARITIMO</v>
          </cell>
          <cell r="F200" t="str">
            <v>HING LEE</v>
          </cell>
          <cell r="G200" t="str">
            <v>SHENZHEN JINSHUN'AN INTERNATIONAL FREIGHT FORWARDING CO.,LTD</v>
          </cell>
          <cell r="H200" t="str">
            <v>CEREZAS</v>
          </cell>
          <cell r="I200" t="str">
            <v>LAPINS / SKEENA /</v>
          </cell>
          <cell r="J200" t="str">
            <v>ALMAHUE EXPORT</v>
          </cell>
          <cell r="K200" t="str">
            <v>CONS-LIBRE</v>
          </cell>
          <cell r="L200" t="str">
            <v>FOB</v>
          </cell>
          <cell r="M200" t="str">
            <v>3552</v>
          </cell>
          <cell r="N200" t="str">
            <v>69316.84</v>
          </cell>
          <cell r="O200" t="str">
            <v>10475.75</v>
          </cell>
          <cell r="P200" t="str">
            <v>0.00</v>
          </cell>
          <cell r="Q200" t="str">
            <v>38335.78</v>
          </cell>
          <cell r="R200">
            <v>1791</v>
          </cell>
          <cell r="S200" t="str">
            <v>35520.00</v>
          </cell>
          <cell r="T200" t="str">
            <v>32,500,445</v>
          </cell>
          <cell r="V200" t="str">
            <v>0.00</v>
          </cell>
          <cell r="W200">
            <v>0</v>
          </cell>
          <cell r="X200" t="str">
            <v>13171382-7</v>
          </cell>
          <cell r="Y200" t="str">
            <v>30-12-2025</v>
          </cell>
          <cell r="Z200" t="str">
            <v>SI</v>
          </cell>
          <cell r="AA200" t="str">
            <v>NO</v>
          </cell>
          <cell r="AB200" t="str">
            <v>28-07-2026</v>
          </cell>
          <cell r="AC200" t="str">
            <v>Sin Aprobar</v>
          </cell>
        </row>
        <row r="201">
          <cell r="A201">
            <v>252</v>
          </cell>
          <cell r="B201" t="str">
            <v>18-12-2025</v>
          </cell>
          <cell r="C201" t="str">
            <v>20-12-2025</v>
          </cell>
          <cell r="D201" t="str">
            <v>LIMA EXPRESS</v>
          </cell>
          <cell r="E201" t="str">
            <v>MARITIMO</v>
          </cell>
          <cell r="F201" t="str">
            <v>DORLUNG</v>
          </cell>
          <cell r="G201" t="str">
            <v>SHENZHEN WEI CHENG LI DE TRADE CO.,LTD</v>
          </cell>
          <cell r="H201" t="str">
            <v>CEREZAS</v>
          </cell>
          <cell r="I201" t="str">
            <v>LAPINS /</v>
          </cell>
          <cell r="J201" t="str">
            <v>ALMAHUE EXPORT</v>
          </cell>
          <cell r="K201" t="str">
            <v>CONS-LIBRE</v>
          </cell>
          <cell r="L201" t="str">
            <v>FOB</v>
          </cell>
          <cell r="M201" t="str">
            <v>3520</v>
          </cell>
          <cell r="N201" t="str">
            <v>97671.33</v>
          </cell>
          <cell r="O201" t="str">
            <v>10283.00</v>
          </cell>
          <cell r="P201" t="str">
            <v>0.00</v>
          </cell>
          <cell r="Q201" t="str">
            <v>63252.07</v>
          </cell>
          <cell r="R201">
            <v>1790</v>
          </cell>
          <cell r="S201" t="str">
            <v>35200.00</v>
          </cell>
          <cell r="T201" t="str">
            <v>32,207,648</v>
          </cell>
          <cell r="V201" t="str">
            <v>0.00</v>
          </cell>
          <cell r="W201">
            <v>0</v>
          </cell>
          <cell r="X201" t="str">
            <v>13173863-3</v>
          </cell>
          <cell r="Y201" t="str">
            <v>30-12-2025</v>
          </cell>
          <cell r="Z201" t="str">
            <v>SI</v>
          </cell>
          <cell r="AA201" t="str">
            <v>NO</v>
          </cell>
          <cell r="AB201" t="str">
            <v>28-07-2026</v>
          </cell>
          <cell r="AC201" t="str">
            <v>Sin Aprobar</v>
          </cell>
        </row>
        <row r="202">
          <cell r="A202">
            <v>251</v>
          </cell>
          <cell r="B202" t="str">
            <v>18-12-2025</v>
          </cell>
          <cell r="C202" t="str">
            <v>20-12-2025</v>
          </cell>
          <cell r="D202" t="str">
            <v>LIMA EXPRESS</v>
          </cell>
          <cell r="E202" t="str">
            <v>MARITIMO</v>
          </cell>
          <cell r="F202" t="str">
            <v>HING LEE</v>
          </cell>
          <cell r="G202" t="str">
            <v>SHENZHEN JIANRONG JIAYE TRADE CO., LTD</v>
          </cell>
          <cell r="H202" t="str">
            <v>CEREZAS</v>
          </cell>
          <cell r="I202" t="str">
            <v>LAPINS /</v>
          </cell>
          <cell r="J202" t="str">
            <v>ALMAHUE EXPORT</v>
          </cell>
          <cell r="K202" t="str">
            <v>CONS-LIBRE</v>
          </cell>
          <cell r="L202" t="str">
            <v>FOB</v>
          </cell>
          <cell r="M202" t="str">
            <v>3520</v>
          </cell>
          <cell r="N202" t="str">
            <v>75681.27</v>
          </cell>
          <cell r="O202" t="str">
            <v>10361.89</v>
          </cell>
          <cell r="P202" t="str">
            <v>0.00</v>
          </cell>
          <cell r="Q202" t="str">
            <v>41487.38</v>
          </cell>
          <cell r="R202">
            <v>1789</v>
          </cell>
          <cell r="S202" t="str">
            <v>35200.00</v>
          </cell>
          <cell r="T202" t="str">
            <v>32,207,648</v>
          </cell>
          <cell r="V202" t="str">
            <v>0.00</v>
          </cell>
          <cell r="W202">
            <v>0</v>
          </cell>
          <cell r="X202" t="str">
            <v>13171427-0</v>
          </cell>
          <cell r="Y202" t="str">
            <v>18-12-2025</v>
          </cell>
          <cell r="Z202" t="str">
            <v>SI</v>
          </cell>
          <cell r="AA202" t="str">
            <v>NO</v>
          </cell>
          <cell r="AB202" t="str">
            <v>16-07-2026</v>
          </cell>
          <cell r="AC202" t="str">
            <v>Sin Aprobar</v>
          </cell>
        </row>
        <row r="203">
          <cell r="A203">
            <v>250</v>
          </cell>
          <cell r="B203" t="str">
            <v>17-12-2025</v>
          </cell>
          <cell r="C203" t="str">
            <v>20-12-2025</v>
          </cell>
          <cell r="D203" t="str">
            <v>LIMA EXPRESS</v>
          </cell>
          <cell r="E203" t="str">
            <v>MARITIMO</v>
          </cell>
          <cell r="F203" t="str">
            <v>JINSHENG</v>
          </cell>
          <cell r="G203" t="str">
            <v>CHUN WAN YI (GUANGZHOU) SUPPLY CHAIN MANAGEMENT CO., LTD</v>
          </cell>
          <cell r="H203" t="str">
            <v>CEREZAS</v>
          </cell>
          <cell r="I203" t="str">
            <v>LAPINS /</v>
          </cell>
          <cell r="J203" t="str">
            <v>ALMAHUE EXPORT</v>
          </cell>
          <cell r="K203" t="str">
            <v>CONS-LIBRE</v>
          </cell>
          <cell r="L203" t="str">
            <v>FOB</v>
          </cell>
          <cell r="M203" t="str">
            <v>3544</v>
          </cell>
          <cell r="N203" t="str">
            <v>63464.44</v>
          </cell>
          <cell r="O203" t="str">
            <v>10747.89</v>
          </cell>
          <cell r="P203" t="str">
            <v>0.00</v>
          </cell>
          <cell r="Q203" t="str">
            <v>33132.63</v>
          </cell>
          <cell r="R203">
            <v>1797</v>
          </cell>
          <cell r="S203" t="str">
            <v>35440.00</v>
          </cell>
          <cell r="T203" t="str">
            <v>32,427,246</v>
          </cell>
          <cell r="V203" t="str">
            <v>0.00</v>
          </cell>
          <cell r="W203">
            <v>0</v>
          </cell>
          <cell r="X203" t="str">
            <v>13171382-2</v>
          </cell>
          <cell r="Y203" t="str">
            <v>31-12-2025</v>
          </cell>
          <cell r="Z203" t="str">
            <v>SI</v>
          </cell>
          <cell r="AA203" t="str">
            <v>NO</v>
          </cell>
          <cell r="AB203" t="str">
            <v>29-07-2026</v>
          </cell>
          <cell r="AC203" t="str">
            <v>Sin Aprobar</v>
          </cell>
        </row>
        <row r="204">
          <cell r="A204">
            <v>249</v>
          </cell>
          <cell r="B204" t="str">
            <v>18-12-2025</v>
          </cell>
          <cell r="C204" t="str">
            <v>20-12-2025</v>
          </cell>
          <cell r="D204" t="str">
            <v>LIMA EXPRESS</v>
          </cell>
          <cell r="E204" t="str">
            <v>MARITIMO</v>
          </cell>
          <cell r="F204" t="str">
            <v>WUHAN CCMAX FRUITS CO., LTD</v>
          </cell>
          <cell r="G204" t="str">
            <v>SHANGHAI HUI ZHAN INTERNATIONAL TRADE CO., LTD</v>
          </cell>
          <cell r="H204" t="str">
            <v>CEREZAS</v>
          </cell>
          <cell r="I204" t="str">
            <v>LAPINS /</v>
          </cell>
          <cell r="J204" t="str">
            <v>ALMAHUE EXPORT</v>
          </cell>
          <cell r="K204" t="str">
            <v>CONS-LIBRE</v>
          </cell>
          <cell r="L204" t="str">
            <v>FOB</v>
          </cell>
          <cell r="M204" t="str">
            <v>3520</v>
          </cell>
          <cell r="N204" t="str">
            <v>89976.29</v>
          </cell>
          <cell r="O204" t="str">
            <v>10099.00</v>
          </cell>
          <cell r="P204" t="str">
            <v>0.00</v>
          </cell>
          <cell r="Q204" t="str">
            <v>58892.54</v>
          </cell>
          <cell r="R204">
            <v>1788</v>
          </cell>
          <cell r="S204" t="str">
            <v>35200.00</v>
          </cell>
          <cell r="T204" t="str">
            <v>32,207,648</v>
          </cell>
          <cell r="V204" t="str">
            <v>0.00</v>
          </cell>
          <cell r="W204">
            <v>0</v>
          </cell>
          <cell r="X204" t="str">
            <v>13173811-0</v>
          </cell>
          <cell r="Y204" t="str">
            <v>30-12-2025</v>
          </cell>
          <cell r="Z204" t="str">
            <v>SI</v>
          </cell>
          <cell r="AA204" t="str">
            <v>NO</v>
          </cell>
          <cell r="AB204" t="str">
            <v>28-07-2026</v>
          </cell>
          <cell r="AC204" t="str">
            <v>Sin Aprobar</v>
          </cell>
        </row>
        <row r="205">
          <cell r="A205">
            <v>248</v>
          </cell>
          <cell r="B205" t="str">
            <v>17-12-2025</v>
          </cell>
          <cell r="C205" t="str">
            <v>20-12-2025</v>
          </cell>
          <cell r="D205" t="str">
            <v>LIMA EXPRESS</v>
          </cell>
          <cell r="E205" t="str">
            <v>MARITIMO</v>
          </cell>
          <cell r="F205" t="str">
            <v>KINGO</v>
          </cell>
          <cell r="G205" t="str">
            <v>SHENZHEN FANYA XIANSHIHUI CO.,LTD</v>
          </cell>
          <cell r="H205" t="str">
            <v>CEREZAS</v>
          </cell>
          <cell r="I205" t="str">
            <v>LAPINS /</v>
          </cell>
          <cell r="J205" t="str">
            <v>ALMAHUE EXPORT</v>
          </cell>
          <cell r="K205" t="str">
            <v>CONS-LIBRE</v>
          </cell>
          <cell r="L205" t="str">
            <v>FOB</v>
          </cell>
          <cell r="M205" t="str">
            <v>3544</v>
          </cell>
          <cell r="N205" t="str">
            <v>567420.88</v>
          </cell>
          <cell r="O205" t="str">
            <v>71873.03</v>
          </cell>
          <cell r="P205" t="str">
            <v>0.00</v>
          </cell>
          <cell r="Q205" t="str">
            <v>380479.92</v>
          </cell>
          <cell r="R205">
            <v>1796</v>
          </cell>
          <cell r="S205" t="str">
            <v>35440.00</v>
          </cell>
          <cell r="T205" t="str">
            <v>32,427,246</v>
          </cell>
          <cell r="V205" t="str">
            <v>0.00</v>
          </cell>
          <cell r="W205">
            <v>0</v>
          </cell>
          <cell r="X205" t="str">
            <v>13171297-9</v>
          </cell>
          <cell r="Y205" t="str">
            <v>31-12-2025</v>
          </cell>
          <cell r="Z205" t="str">
            <v>SI</v>
          </cell>
          <cell r="AA205" t="str">
            <v>NO</v>
          </cell>
          <cell r="AB205" t="str">
            <v>29-07-2026</v>
          </cell>
          <cell r="AC205" t="str">
            <v>Sin Aprobar</v>
          </cell>
        </row>
        <row r="206">
          <cell r="A206">
            <v>247</v>
          </cell>
          <cell r="B206" t="str">
            <v>16-12-2025</v>
          </cell>
          <cell r="C206" t="str">
            <v>20-12-2025</v>
          </cell>
          <cell r="D206" t="str">
            <v>LIMA EXPRESS</v>
          </cell>
          <cell r="E206" t="str">
            <v>MARITIMO</v>
          </cell>
          <cell r="F206" t="str">
            <v>YOGO</v>
          </cell>
          <cell r="G206" t="str">
            <v>CHENGDU RAILPORT EURASIA IMPORT AND EXPORT TRADE CO.,LTD.</v>
          </cell>
          <cell r="H206" t="str">
            <v>CEREZAS</v>
          </cell>
          <cell r="I206" t="str">
            <v>LAPINS /</v>
          </cell>
          <cell r="J206" t="str">
            <v>ALMAHUE EXPORT</v>
          </cell>
          <cell r="K206" t="str">
            <v>CONS-LIBRE</v>
          </cell>
          <cell r="L206" t="str">
            <v>FOB</v>
          </cell>
          <cell r="M206" t="str">
            <v>3520</v>
          </cell>
          <cell r="N206" t="str">
            <v>68552.71</v>
          </cell>
          <cell r="O206" t="str">
            <v>9528.42</v>
          </cell>
          <cell r="P206" t="str">
            <v>0.00</v>
          </cell>
          <cell r="Q206" t="str">
            <v>38601.83</v>
          </cell>
          <cell r="R206">
            <v>1794</v>
          </cell>
          <cell r="S206" t="str">
            <v>35200.00</v>
          </cell>
          <cell r="T206" t="str">
            <v>32,207,648</v>
          </cell>
          <cell r="V206" t="str">
            <v>0.00</v>
          </cell>
          <cell r="W206">
            <v>0</v>
          </cell>
          <cell r="X206" t="str">
            <v>13171189-1</v>
          </cell>
          <cell r="Y206" t="str">
            <v>31-12-2025</v>
          </cell>
          <cell r="Z206" t="str">
            <v>SI</v>
          </cell>
          <cell r="AA206" t="str">
            <v>NO</v>
          </cell>
          <cell r="AB206" t="str">
            <v>29-07-2026</v>
          </cell>
          <cell r="AC206" t="str">
            <v>Sin Aprobar</v>
          </cell>
        </row>
        <row r="207">
          <cell r="A207">
            <v>246</v>
          </cell>
          <cell r="B207" t="str">
            <v>17-12-2025</v>
          </cell>
          <cell r="C207" t="str">
            <v>20-12-2025</v>
          </cell>
          <cell r="D207" t="str">
            <v>LIMA EXPRESS</v>
          </cell>
          <cell r="E207" t="str">
            <v>MARITIMO</v>
          </cell>
          <cell r="F207" t="str">
            <v>PAGODA</v>
          </cell>
          <cell r="G207" t="str">
            <v>SHANGHAI HUI ZHAN INTERNATIONAL TRADE CO., LTD</v>
          </cell>
          <cell r="H207" t="str">
            <v>CEREZAS</v>
          </cell>
          <cell r="I207" t="str">
            <v>LAPINS /</v>
          </cell>
          <cell r="J207" t="str">
            <v>ALMAHUE EXPORT</v>
          </cell>
          <cell r="K207" t="str">
            <v>CONS-LIBRE</v>
          </cell>
          <cell r="L207" t="str">
            <v>FOB</v>
          </cell>
          <cell r="M207" t="str">
            <v>3520</v>
          </cell>
          <cell r="N207" t="str">
            <v>104351.46</v>
          </cell>
          <cell r="O207" t="str">
            <v>10276.21</v>
          </cell>
          <cell r="P207" t="str">
            <v>0.00</v>
          </cell>
          <cell r="Q207" t="str">
            <v>74593.59</v>
          </cell>
          <cell r="R207">
            <v>1785</v>
          </cell>
          <cell r="S207" t="str">
            <v>49280.00</v>
          </cell>
          <cell r="T207" t="str">
            <v>45,090,707</v>
          </cell>
          <cell r="V207" t="str">
            <v>0.00</v>
          </cell>
          <cell r="W207">
            <v>0</v>
          </cell>
          <cell r="X207" t="str">
            <v>13170761-4</v>
          </cell>
          <cell r="Y207" t="str">
            <v>30-12-2025</v>
          </cell>
          <cell r="Z207" t="str">
            <v>SI</v>
          </cell>
          <cell r="AA207" t="str">
            <v>NO</v>
          </cell>
          <cell r="AB207" t="str">
            <v>28-07-2026</v>
          </cell>
          <cell r="AC207" t="str">
            <v>Sin Aprobar</v>
          </cell>
        </row>
        <row r="208">
          <cell r="A208">
            <v>245</v>
          </cell>
          <cell r="B208" t="str">
            <v>18-12-2025</v>
          </cell>
          <cell r="C208" t="str">
            <v>20-12-2025</v>
          </cell>
          <cell r="D208" t="str">
            <v>LIMA EXPRESS</v>
          </cell>
          <cell r="E208" t="str">
            <v>MARITIMO</v>
          </cell>
          <cell r="F208" t="str">
            <v>HUASHENG</v>
          </cell>
          <cell r="G208" t="str">
            <v>CHUN WAN YI (GUANGZHOU) SUPPLY CHAIN MANAGEMENT CO., LTD</v>
          </cell>
          <cell r="H208" t="str">
            <v>CEREZAS</v>
          </cell>
          <cell r="I208" t="str">
            <v>REGINA /</v>
          </cell>
          <cell r="J208" t="str">
            <v>ALMAHUE EXPORT</v>
          </cell>
          <cell r="K208" t="str">
            <v>CONS-LIBRE</v>
          </cell>
          <cell r="L208" t="str">
            <v>FOB</v>
          </cell>
          <cell r="M208" t="str">
            <v>3520</v>
          </cell>
          <cell r="N208" t="str">
            <v>93664.09</v>
          </cell>
          <cell r="O208" t="str">
            <v>10134.08</v>
          </cell>
          <cell r="P208" t="str">
            <v>0.00</v>
          </cell>
          <cell r="Q208" t="str">
            <v>63883.72</v>
          </cell>
          <cell r="R208">
            <v>1784</v>
          </cell>
          <cell r="S208" t="str">
            <v>49280.00</v>
          </cell>
          <cell r="T208" t="str">
            <v>45,090,707</v>
          </cell>
          <cell r="V208" t="str">
            <v>0.00</v>
          </cell>
          <cell r="W208">
            <v>0</v>
          </cell>
          <cell r="X208" t="str">
            <v>13173904-4</v>
          </cell>
          <cell r="Y208" t="str">
            <v>31-12-2025</v>
          </cell>
          <cell r="Z208" t="str">
            <v>SI</v>
          </cell>
          <cell r="AA208" t="str">
            <v>NO</v>
          </cell>
          <cell r="AB208" t="str">
            <v>29-07-2026</v>
          </cell>
          <cell r="AC208" t="str">
            <v>Sin Aprobar</v>
          </cell>
        </row>
        <row r="209">
          <cell r="A209">
            <v>244</v>
          </cell>
          <cell r="B209" t="str">
            <v>16-12-2025</v>
          </cell>
          <cell r="C209" t="str">
            <v>20-12-2025</v>
          </cell>
          <cell r="D209" t="str">
            <v>LIMA EXPRESS</v>
          </cell>
          <cell r="E209" t="str">
            <v>MARITIMO</v>
          </cell>
          <cell r="F209" t="str">
            <v>DORLUNG</v>
          </cell>
          <cell r="G209" t="str">
            <v>SHENZHEN WEI CHENG LI DE TRADE CO.,LTD</v>
          </cell>
          <cell r="H209" t="str">
            <v>CEREZAS</v>
          </cell>
          <cell r="I209" t="str">
            <v>LAPINS / SKEENA /</v>
          </cell>
          <cell r="J209" t="str">
            <v>ALMAHUE EXPORT</v>
          </cell>
          <cell r="K209" t="str">
            <v>CONS-LIBRE</v>
          </cell>
          <cell r="L209" t="str">
            <v>FOB</v>
          </cell>
          <cell r="M209" t="str">
            <v>3544</v>
          </cell>
          <cell r="N209" t="str">
            <v>97383.96</v>
          </cell>
          <cell r="O209" t="str">
            <v>9610.00</v>
          </cell>
          <cell r="P209" t="str">
            <v>0.00</v>
          </cell>
          <cell r="Q209" t="str">
            <v>63393.12</v>
          </cell>
          <cell r="R209">
            <v>1787</v>
          </cell>
          <cell r="S209" t="str">
            <v>35440.00</v>
          </cell>
          <cell r="T209" t="str">
            <v>32,427,246</v>
          </cell>
          <cell r="V209" t="str">
            <v>0.00</v>
          </cell>
          <cell r="W209">
            <v>0</v>
          </cell>
          <cell r="X209" t="str">
            <v>13171132-8</v>
          </cell>
          <cell r="Y209" t="str">
            <v>30-12-2025</v>
          </cell>
          <cell r="Z209" t="str">
            <v>SI</v>
          </cell>
          <cell r="AA209" t="str">
            <v>NO</v>
          </cell>
          <cell r="AB209" t="str">
            <v>28-07-2026</v>
          </cell>
          <cell r="AC209" t="str">
            <v>Sin Aprobar</v>
          </cell>
        </row>
        <row r="210">
          <cell r="A210">
            <v>243</v>
          </cell>
          <cell r="B210" t="str">
            <v>17-12-2025</v>
          </cell>
          <cell r="C210" t="str">
            <v>20-12-2025</v>
          </cell>
          <cell r="D210" t="str">
            <v>LIMA EXPRESS</v>
          </cell>
          <cell r="E210" t="str">
            <v>MARITIMO</v>
          </cell>
          <cell r="F210" t="str">
            <v>DORLUNG</v>
          </cell>
          <cell r="G210" t="str">
            <v>SHENZHEN WEI CHENG LI DE TRADE CO.,LTD</v>
          </cell>
          <cell r="H210" t="str">
            <v>CEREZAS</v>
          </cell>
          <cell r="I210" t="str">
            <v>LAPINS /</v>
          </cell>
          <cell r="J210" t="str">
            <v>ALMAHUE EXPORT</v>
          </cell>
          <cell r="K210" t="str">
            <v>CONS-LIBRE</v>
          </cell>
          <cell r="L210" t="str">
            <v>FOB</v>
          </cell>
          <cell r="M210" t="str">
            <v>3520</v>
          </cell>
          <cell r="N210" t="str">
            <v>87301.40</v>
          </cell>
          <cell r="O210" t="str">
            <v>10283.00</v>
          </cell>
          <cell r="P210" t="str">
            <v>0.00</v>
          </cell>
          <cell r="Q210" t="str">
            <v>54363.06</v>
          </cell>
          <cell r="R210">
            <v>1786</v>
          </cell>
          <cell r="S210" t="str">
            <v>35200.00</v>
          </cell>
          <cell r="T210" t="str">
            <v>32,207,648</v>
          </cell>
          <cell r="V210" t="str">
            <v>0.00</v>
          </cell>
          <cell r="W210">
            <v>0</v>
          </cell>
          <cell r="X210" t="str">
            <v>13170715-0</v>
          </cell>
          <cell r="Y210" t="str">
            <v>31-12-2025</v>
          </cell>
          <cell r="Z210" t="str">
            <v>SI</v>
          </cell>
          <cell r="AA210" t="str">
            <v>NO</v>
          </cell>
          <cell r="AB210" t="str">
            <v>29-07-2026</v>
          </cell>
          <cell r="AC210" t="str">
            <v>Sin Aprobar</v>
          </cell>
        </row>
        <row r="211">
          <cell r="A211">
            <v>242</v>
          </cell>
          <cell r="B211" t="str">
            <v>16-12-2025</v>
          </cell>
          <cell r="C211" t="str">
            <v>17-12-2025</v>
          </cell>
          <cell r="D211" t="str">
            <v>ETHIOPIAN AIRLINES</v>
          </cell>
          <cell r="E211" t="str">
            <v>AEREO</v>
          </cell>
          <cell r="F211" t="str">
            <v>FRUITCEO CO.,LIMITED</v>
          </cell>
          <cell r="G211" t="str">
            <v>SHANGHAI HUI ZHAN INTERNATIONAL TRADE CO.,LTD</v>
          </cell>
          <cell r="H211" t="str">
            <v>CEREZAS</v>
          </cell>
          <cell r="I211" t="str">
            <v>KORDIA /</v>
          </cell>
          <cell r="J211" t="str">
            <v>ALMAHUE EXPORT</v>
          </cell>
          <cell r="K211" t="str">
            <v>CONS-LIBRE</v>
          </cell>
          <cell r="L211" t="str">
            <v>FOB</v>
          </cell>
          <cell r="M211" t="str">
            <v>3799</v>
          </cell>
          <cell r="N211" t="str">
            <v>739410.19</v>
          </cell>
          <cell r="O211" t="str">
            <v>302130.40</v>
          </cell>
          <cell r="P211" t="str">
            <v>0.00</v>
          </cell>
          <cell r="Q211" t="str">
            <v>342239.89</v>
          </cell>
          <cell r="R211">
            <v>1750</v>
          </cell>
          <cell r="S211" t="str">
            <v>75980.00</v>
          </cell>
          <cell r="T211" t="str">
            <v>69,425,965</v>
          </cell>
          <cell r="V211" t="str">
            <v>0.00</v>
          </cell>
          <cell r="W211">
            <v>0</v>
          </cell>
          <cell r="X211" t="str">
            <v>13170677-4</v>
          </cell>
          <cell r="Y211" t="str">
            <v>13-01-2026</v>
          </cell>
          <cell r="Z211" t="str">
            <v>SI</v>
          </cell>
          <cell r="AA211" t="str">
            <v>NO</v>
          </cell>
          <cell r="AB211" t="str">
            <v>11-08-2026</v>
          </cell>
          <cell r="AC211" t="str">
            <v>Sin Aprobar</v>
          </cell>
        </row>
        <row r="212">
          <cell r="A212">
            <v>241</v>
          </cell>
          <cell r="B212" t="str">
            <v>16-12-2025</v>
          </cell>
          <cell r="C212" t="str">
            <v>18-12-2025</v>
          </cell>
          <cell r="D212" t="str">
            <v>MAERSK LIMA</v>
          </cell>
          <cell r="E212" t="str">
            <v>MARITIMO</v>
          </cell>
          <cell r="F212" t="str">
            <v>FRUITJOY</v>
          </cell>
          <cell r="G212" t="str">
            <v>SHANGHAI HUI ZHAN INTERNATIONAL TRADE CO., LTD</v>
          </cell>
          <cell r="H212" t="str">
            <v>CEREZAS</v>
          </cell>
          <cell r="I212" t="str">
            <v>KORDIA / LAPINS /</v>
          </cell>
          <cell r="J212" t="str">
            <v>ALMAHUE EXPORT</v>
          </cell>
          <cell r="K212" t="str">
            <v>CONS-LIBRE</v>
          </cell>
          <cell r="L212" t="str">
            <v>FOB</v>
          </cell>
          <cell r="M212" t="str">
            <v>4768</v>
          </cell>
          <cell r="N212" t="str">
            <v>140768.35</v>
          </cell>
          <cell r="O212" t="str">
            <v>10330.56</v>
          </cell>
          <cell r="P212" t="str">
            <v>0.00</v>
          </cell>
          <cell r="Q212" t="str">
            <v>104153.26</v>
          </cell>
          <cell r="R212">
            <v>1783</v>
          </cell>
          <cell r="S212" t="str">
            <v>50624.00</v>
          </cell>
          <cell r="T212" t="str">
            <v>46,444,989</v>
          </cell>
          <cell r="V212" t="str">
            <v>0.00</v>
          </cell>
          <cell r="W212">
            <v>0</v>
          </cell>
          <cell r="X212" t="str">
            <v>13169813-5</v>
          </cell>
          <cell r="Y212" t="str">
            <v>06-01-2026</v>
          </cell>
          <cell r="Z212" t="str">
            <v>SI</v>
          </cell>
          <cell r="AA212" t="str">
            <v>NO</v>
          </cell>
          <cell r="AB212" t="str">
            <v>04-08-2026</v>
          </cell>
          <cell r="AC212" t="str">
            <v>Sin Aprobar</v>
          </cell>
        </row>
        <row r="213">
          <cell r="A213">
            <v>240</v>
          </cell>
          <cell r="B213" t="str">
            <v>16-12-2025</v>
          </cell>
          <cell r="C213" t="str">
            <v>18-12-2025</v>
          </cell>
          <cell r="D213" t="str">
            <v>MAERSK LIMA</v>
          </cell>
          <cell r="E213" t="str">
            <v>MARITIMO</v>
          </cell>
          <cell r="F213" t="str">
            <v>JINSHENG</v>
          </cell>
          <cell r="G213" t="str">
            <v>CHUN WAN YI (GUANGZHOU) SUPPLY CHAIN MANAGEMENT CO., LTD</v>
          </cell>
          <cell r="H213" t="str">
            <v>CEREZAS</v>
          </cell>
          <cell r="I213" t="str">
            <v>LAPINS /</v>
          </cell>
          <cell r="J213" t="str">
            <v>ALMAHUE EXPORT</v>
          </cell>
          <cell r="K213" t="str">
            <v>CONS-LIBRE</v>
          </cell>
          <cell r="L213" t="str">
            <v>FOB</v>
          </cell>
          <cell r="M213" t="str">
            <v>3520</v>
          </cell>
          <cell r="N213" t="str">
            <v>91346.07</v>
          </cell>
          <cell r="O213" t="str">
            <v>10357.04</v>
          </cell>
          <cell r="P213" t="str">
            <v>0.00</v>
          </cell>
          <cell r="Q213" t="str">
            <v>60136.44</v>
          </cell>
          <cell r="R213">
            <v>1766</v>
          </cell>
          <cell r="S213" t="str">
            <v>49280.00</v>
          </cell>
          <cell r="T213" t="str">
            <v>45,211,936</v>
          </cell>
          <cell r="V213" t="str">
            <v>0.00</v>
          </cell>
          <cell r="W213">
            <v>0</v>
          </cell>
          <cell r="X213" t="str">
            <v>13169837-2</v>
          </cell>
          <cell r="Y213" t="str">
            <v>06-01-2026</v>
          </cell>
          <cell r="Z213" t="str">
            <v>SI</v>
          </cell>
          <cell r="AA213" t="str">
            <v>NO</v>
          </cell>
          <cell r="AB213" t="str">
            <v>04-08-2026</v>
          </cell>
          <cell r="AC213" t="str">
            <v>Sin Aprobar</v>
          </cell>
        </row>
        <row r="214">
          <cell r="A214">
            <v>239</v>
          </cell>
          <cell r="B214" t="str">
            <v>16-12-2025</v>
          </cell>
          <cell r="C214" t="str">
            <v>18-12-2025</v>
          </cell>
          <cell r="D214" t="str">
            <v>MAERSK LIMA</v>
          </cell>
          <cell r="E214" t="str">
            <v>MARITIMO</v>
          </cell>
          <cell r="F214" t="str">
            <v>HING LEE</v>
          </cell>
          <cell r="G214" t="str">
            <v>SHENZHEN JINSHUN'AN INTERNATIONAL FREIGHT FORWARDING CO.,LTD</v>
          </cell>
          <cell r="H214" t="str">
            <v>CEREZAS</v>
          </cell>
          <cell r="I214" t="str">
            <v>KORDIA / LAPINS /</v>
          </cell>
          <cell r="J214" t="str">
            <v>ALMAHUE EXPORT</v>
          </cell>
          <cell r="K214" t="str">
            <v>CONS-LIBRE</v>
          </cell>
          <cell r="L214" t="str">
            <v>FOB</v>
          </cell>
          <cell r="M214" t="str">
            <v>4560</v>
          </cell>
          <cell r="N214" t="str">
            <v>139592.32</v>
          </cell>
          <cell r="O214" t="str">
            <v>10416.00</v>
          </cell>
          <cell r="P214" t="str">
            <v>0.00</v>
          </cell>
          <cell r="Q214" t="str">
            <v>103830.78</v>
          </cell>
          <cell r="R214">
            <v>1782</v>
          </cell>
          <cell r="S214" t="str">
            <v>50400.00</v>
          </cell>
          <cell r="T214" t="str">
            <v>46,239,480</v>
          </cell>
          <cell r="V214" t="str">
            <v>0.00</v>
          </cell>
          <cell r="W214">
            <v>0</v>
          </cell>
          <cell r="X214" t="str">
            <v>13169824-0</v>
          </cell>
          <cell r="Y214" t="str">
            <v>06-01-2026</v>
          </cell>
          <cell r="Z214" t="str">
            <v>SI</v>
          </cell>
          <cell r="AA214" t="str">
            <v>NO</v>
          </cell>
          <cell r="AB214" t="str">
            <v>04-08-2026</v>
          </cell>
          <cell r="AC214" t="str">
            <v>Sin Aprobar</v>
          </cell>
        </row>
        <row r="215">
          <cell r="A215">
            <v>238</v>
          </cell>
          <cell r="B215" t="str">
            <v>16-12-2025</v>
          </cell>
          <cell r="C215" t="str">
            <v>18-12-2025</v>
          </cell>
          <cell r="D215" t="str">
            <v>MAERSK BATAM</v>
          </cell>
          <cell r="E215" t="str">
            <v>MARITIMO</v>
          </cell>
          <cell r="F215" t="str">
            <v>VINTAGE FRUIT</v>
          </cell>
          <cell r="G215" t="str">
            <v>VINTAGE FRUIT, LDA</v>
          </cell>
          <cell r="H215" t="str">
            <v>CEREZAS</v>
          </cell>
          <cell r="I215" t="str">
            <v>LAPINS /</v>
          </cell>
          <cell r="J215" t="str">
            <v>ALMAHUE EXPORT</v>
          </cell>
          <cell r="K215" t="str">
            <v>CONS-LIBRE</v>
          </cell>
          <cell r="L215" t="str">
            <v>FOB</v>
          </cell>
          <cell r="M215" t="str">
            <v>3520</v>
          </cell>
          <cell r="N215" t="str">
            <v>87445.60</v>
          </cell>
          <cell r="O215" t="str">
            <v>10286.21</v>
          </cell>
          <cell r="P215" t="str">
            <v>0.00</v>
          </cell>
          <cell r="Q215" t="str">
            <v>64861.37</v>
          </cell>
          <cell r="R215">
            <v>1764</v>
          </cell>
          <cell r="S215" t="str">
            <v>49280.00</v>
          </cell>
          <cell r="T215" t="str">
            <v>45,211,936</v>
          </cell>
          <cell r="V215" t="str">
            <v>0.00</v>
          </cell>
          <cell r="W215">
            <v>0</v>
          </cell>
          <cell r="X215" t="str">
            <v>13168990-K</v>
          </cell>
          <cell r="Y215" t="str">
            <v>06-01-2026</v>
          </cell>
          <cell r="Z215" t="str">
            <v>SI</v>
          </cell>
          <cell r="AA215" t="str">
            <v>NO</v>
          </cell>
          <cell r="AB215" t="str">
            <v>04-08-2026</v>
          </cell>
          <cell r="AC215" t="str">
            <v>Sin Aprobar</v>
          </cell>
        </row>
        <row r="216">
          <cell r="A216">
            <v>237</v>
          </cell>
          <cell r="B216" t="str">
            <v>16-12-2025</v>
          </cell>
          <cell r="C216" t="str">
            <v>18-12-2025</v>
          </cell>
          <cell r="D216" t="str">
            <v>MAERSK LIMA</v>
          </cell>
          <cell r="E216" t="str">
            <v>MARITIMO</v>
          </cell>
          <cell r="F216" t="str">
            <v>AARTSEN</v>
          </cell>
          <cell r="G216" t="str">
            <v>MTV DUC PHAT VN COMPANY LIMITED</v>
          </cell>
          <cell r="H216" t="str">
            <v>CEREZAS</v>
          </cell>
          <cell r="I216" t="str">
            <v>LAPINS /</v>
          </cell>
          <cell r="J216" t="str">
            <v>ALMAHUE EXPORT</v>
          </cell>
          <cell r="K216" t="str">
            <v>CONS-LIBRE</v>
          </cell>
          <cell r="L216" t="str">
            <v>FOB</v>
          </cell>
          <cell r="M216" t="str">
            <v>3600</v>
          </cell>
          <cell r="N216" t="str">
            <v>79028.96</v>
          </cell>
          <cell r="O216" t="str">
            <v>11318.81</v>
          </cell>
          <cell r="P216" t="str">
            <v>0.00</v>
          </cell>
          <cell r="Q216" t="str">
            <v>56224.14</v>
          </cell>
          <cell r="R216">
            <v>1781</v>
          </cell>
          <cell r="S216" t="str">
            <v>50400.00</v>
          </cell>
          <cell r="T216" t="str">
            <v>46,239,480</v>
          </cell>
          <cell r="V216" t="str">
            <v>0.00</v>
          </cell>
          <cell r="W216">
            <v>0</v>
          </cell>
          <cell r="X216" t="str">
            <v>13168936-5</v>
          </cell>
          <cell r="Y216" t="str">
            <v>06-01-2026</v>
          </cell>
          <cell r="Z216" t="str">
            <v>SI</v>
          </cell>
          <cell r="AA216" t="str">
            <v>NO</v>
          </cell>
          <cell r="AB216" t="str">
            <v>04-08-2026</v>
          </cell>
          <cell r="AC216" t="str">
            <v>Sin Aprobar</v>
          </cell>
        </row>
        <row r="217">
          <cell r="A217">
            <v>236</v>
          </cell>
          <cell r="B217" t="str">
            <v>18-12-2025</v>
          </cell>
          <cell r="C217" t="str">
            <v>21-12-2025</v>
          </cell>
          <cell r="D217" t="str">
            <v>LAKONIA</v>
          </cell>
          <cell r="E217" t="str">
            <v>MARITIMO</v>
          </cell>
          <cell r="F217" t="str">
            <v>NORTH BAY</v>
          </cell>
          <cell r="G217" t="str">
            <v>NORTH BAY PRODUCE, INC.</v>
          </cell>
          <cell r="H217" t="str">
            <v>CEREZAS</v>
          </cell>
          <cell r="I217" t="str">
            <v>LAPINS /</v>
          </cell>
          <cell r="J217" t="str">
            <v>ALMAHUE EXPORT</v>
          </cell>
          <cell r="K217" t="str">
            <v>CONS-LIBRE</v>
          </cell>
          <cell r="L217" t="str">
            <v>FOB</v>
          </cell>
          <cell r="M217" t="str">
            <v>3360</v>
          </cell>
          <cell r="N217" t="str">
            <v>108828.38</v>
          </cell>
          <cell r="O217" t="str">
            <v>8654.19</v>
          </cell>
          <cell r="P217" t="str">
            <v>0.00</v>
          </cell>
          <cell r="Q217" t="str">
            <v>79031.42</v>
          </cell>
          <cell r="R217">
            <v>1811</v>
          </cell>
          <cell r="S217" t="str">
            <v>33600.00</v>
          </cell>
          <cell r="T217" t="str">
            <v>30,743,664</v>
          </cell>
          <cell r="V217" t="str">
            <v>0.00</v>
          </cell>
          <cell r="W217">
            <v>0</v>
          </cell>
          <cell r="X217" t="str">
            <v>13175575-9</v>
          </cell>
          <cell r="Y217" t="str">
            <v>29-12-2025</v>
          </cell>
          <cell r="Z217" t="str">
            <v>SI</v>
          </cell>
          <cell r="AA217" t="str">
            <v>NO</v>
          </cell>
          <cell r="AB217" t="str">
            <v>27-07-2026</v>
          </cell>
          <cell r="AC217" t="str">
            <v>Sin Aprobar</v>
          </cell>
        </row>
        <row r="218">
          <cell r="A218">
            <v>235</v>
          </cell>
          <cell r="B218" t="str">
            <v>16-12-2025</v>
          </cell>
          <cell r="C218" t="str">
            <v>21-12-2025</v>
          </cell>
          <cell r="D218" t="str">
            <v>MSC VICTORIA</v>
          </cell>
          <cell r="E218" t="str">
            <v>MARITIMO</v>
          </cell>
          <cell r="F218" t="str">
            <v>ACUMEN</v>
          </cell>
          <cell r="G218" t="str">
            <v>COPSAYS, S.A DE C.V</v>
          </cell>
          <cell r="H218" t="str">
            <v>NECTARINES</v>
          </cell>
          <cell r="I218" t="str">
            <v>SPRING BRIGHT /</v>
          </cell>
          <cell r="J218" t="str">
            <v>ALMAHUE EXPORT</v>
          </cell>
          <cell r="K218" t="str">
            <v>CONS-LIBRE</v>
          </cell>
          <cell r="L218" t="str">
            <v>FOB</v>
          </cell>
          <cell r="M218" t="str">
            <v>2400</v>
          </cell>
          <cell r="N218" t="str">
            <v>66626.90</v>
          </cell>
          <cell r="O218" t="str">
            <v>3778.00</v>
          </cell>
          <cell r="P218" t="str">
            <v>0.00</v>
          </cell>
          <cell r="Q218" t="str">
            <v>46306.23</v>
          </cell>
          <cell r="R218">
            <v>1812</v>
          </cell>
          <cell r="S218" t="str">
            <v>14400.00</v>
          </cell>
          <cell r="T218" t="str">
            <v>13,175,856</v>
          </cell>
          <cell r="V218" t="str">
            <v>0.00</v>
          </cell>
          <cell r="W218">
            <v>0</v>
          </cell>
          <cell r="X218" t="str">
            <v>13170676-6</v>
          </cell>
          <cell r="Y218" t="str">
            <v>29-12-2025</v>
          </cell>
          <cell r="Z218" t="str">
            <v>SI</v>
          </cell>
          <cell r="AA218" t="str">
            <v>NO</v>
          </cell>
          <cell r="AB218" t="str">
            <v>27-07-2026</v>
          </cell>
          <cell r="AC218" t="str">
            <v>Sin Aprobar</v>
          </cell>
        </row>
        <row r="219">
          <cell r="A219">
            <v>234</v>
          </cell>
          <cell r="B219" t="str">
            <v>15-12-2025</v>
          </cell>
          <cell r="C219" t="str">
            <v>16-12-2025</v>
          </cell>
          <cell r="D219" t="str">
            <v>COSCO ASIA</v>
          </cell>
          <cell r="E219" t="str">
            <v>MARITIMO</v>
          </cell>
          <cell r="F219" t="str">
            <v>KINGO</v>
          </cell>
          <cell r="G219" t="str">
            <v>KINGO SHANGHAI CO.,LTD.</v>
          </cell>
          <cell r="H219" t="str">
            <v>CEREZAS</v>
          </cell>
          <cell r="I219" t="str">
            <v>LAPINS / SKEENA /</v>
          </cell>
          <cell r="J219" t="str">
            <v>ALMAHUE EXPORT</v>
          </cell>
          <cell r="K219" t="str">
            <v>CONS-LIBRE</v>
          </cell>
          <cell r="L219" t="str">
            <v>FOB</v>
          </cell>
          <cell r="M219" t="str">
            <v>3520</v>
          </cell>
          <cell r="N219" t="str">
            <v>757840.02</v>
          </cell>
          <cell r="O219" t="str">
            <v>68240.25</v>
          </cell>
          <cell r="P219" t="str">
            <v>0.00</v>
          </cell>
          <cell r="Q219" t="str">
            <v>559105.25</v>
          </cell>
          <cell r="R219">
            <v>1763</v>
          </cell>
          <cell r="S219" t="str">
            <v>49280.00</v>
          </cell>
          <cell r="T219" t="str">
            <v>44,944,838</v>
          </cell>
          <cell r="V219" t="str">
            <v>0.00</v>
          </cell>
          <cell r="W219">
            <v>0</v>
          </cell>
          <cell r="X219" t="str">
            <v>13166970-4</v>
          </cell>
          <cell r="Y219" t="str">
            <v>29-12-2025</v>
          </cell>
          <cell r="Z219" t="str">
            <v>SI</v>
          </cell>
          <cell r="AA219" t="str">
            <v>NO</v>
          </cell>
          <cell r="AB219" t="str">
            <v>27-07-2026</v>
          </cell>
          <cell r="AC219" t="str">
            <v>Sin Aprobar</v>
          </cell>
        </row>
        <row r="220">
          <cell r="A220">
            <v>233</v>
          </cell>
          <cell r="B220" t="str">
            <v>15-12-2025</v>
          </cell>
          <cell r="C220" t="str">
            <v>16-12-2025</v>
          </cell>
          <cell r="D220" t="str">
            <v>COSCO ASIA</v>
          </cell>
          <cell r="E220" t="str">
            <v>MARITIMO</v>
          </cell>
          <cell r="F220" t="str">
            <v>FRUITJOY</v>
          </cell>
          <cell r="G220" t="str">
            <v>SHANGHAI HUI ZHAN INTERNATIONAL TRADE CO., LTD</v>
          </cell>
          <cell r="H220" t="str">
            <v>CEREZAS</v>
          </cell>
          <cell r="I220" t="str">
            <v>LAPINS /</v>
          </cell>
          <cell r="J220" t="str">
            <v>ALMAHUE EXPORT</v>
          </cell>
          <cell r="K220" t="str">
            <v>CONS-LIBRE</v>
          </cell>
          <cell r="L220" t="str">
            <v>FOB</v>
          </cell>
          <cell r="M220" t="str">
            <v>3520</v>
          </cell>
          <cell r="N220" t="str">
            <v>72373.69</v>
          </cell>
          <cell r="O220" t="str">
            <v>9578.64</v>
          </cell>
          <cell r="P220" t="str">
            <v>0.00</v>
          </cell>
          <cell r="Q220" t="str">
            <v>46968.31</v>
          </cell>
          <cell r="R220">
            <v>1779</v>
          </cell>
          <cell r="S220" t="str">
            <v>49280.00</v>
          </cell>
          <cell r="T220" t="str">
            <v>44,944,838</v>
          </cell>
          <cell r="V220" t="str">
            <v>0.00</v>
          </cell>
          <cell r="W220">
            <v>0</v>
          </cell>
          <cell r="X220" t="str">
            <v>13166960-7</v>
          </cell>
          <cell r="Y220" t="str">
            <v>29-12-2025</v>
          </cell>
          <cell r="Z220" t="str">
            <v>SI</v>
          </cell>
          <cell r="AA220" t="str">
            <v>NO</v>
          </cell>
          <cell r="AB220" t="str">
            <v>27-07-2026</v>
          </cell>
          <cell r="AC220" t="str">
            <v>Sin Aprobar</v>
          </cell>
        </row>
        <row r="221">
          <cell r="A221">
            <v>232</v>
          </cell>
          <cell r="B221" t="str">
            <v>14-12-2025</v>
          </cell>
          <cell r="C221" t="str">
            <v>16-12-2025</v>
          </cell>
          <cell r="D221" t="str">
            <v>COSCO ASIA</v>
          </cell>
          <cell r="E221" t="str">
            <v>MARITIMO</v>
          </cell>
          <cell r="F221" t="str">
            <v>YUERUN TRADING</v>
          </cell>
          <cell r="G221" t="str">
            <v>SHENZHEN FANYA XIANSHIHUI CO.,LTD</v>
          </cell>
          <cell r="H221" t="str">
            <v>CEREZAS</v>
          </cell>
          <cell r="I221" t="str">
            <v>LAPINS /</v>
          </cell>
          <cell r="J221" t="str">
            <v>ALMAHUE EXPORT</v>
          </cell>
          <cell r="K221" t="str">
            <v>CONS-LIBRE</v>
          </cell>
          <cell r="L221" t="str">
            <v>FOB</v>
          </cell>
          <cell r="M221" t="str">
            <v>3544</v>
          </cell>
          <cell r="N221" t="str">
            <v>771880.00</v>
          </cell>
          <cell r="O221" t="str">
            <v>68584.62</v>
          </cell>
          <cell r="P221" t="str">
            <v>0.00</v>
          </cell>
          <cell r="Q221" t="str">
            <v>576700.22</v>
          </cell>
          <cell r="R221">
            <v>1778</v>
          </cell>
          <cell r="S221" t="str">
            <v>49616.00</v>
          </cell>
          <cell r="T221" t="str">
            <v>45,251,280</v>
          </cell>
          <cell r="V221" t="str">
            <v>0.00</v>
          </cell>
          <cell r="W221">
            <v>0</v>
          </cell>
          <cell r="X221" t="str">
            <v>13165990-3</v>
          </cell>
          <cell r="Y221" t="str">
            <v>29-12-2025</v>
          </cell>
          <cell r="Z221" t="str">
            <v>SI</v>
          </cell>
          <cell r="AA221" t="str">
            <v>NO</v>
          </cell>
          <cell r="AB221" t="str">
            <v>27-07-2026</v>
          </cell>
          <cell r="AC221" t="str">
            <v>Sin Aprobar</v>
          </cell>
        </row>
        <row r="222">
          <cell r="A222">
            <v>231</v>
          </cell>
          <cell r="B222" t="str">
            <v>14-12-2025</v>
          </cell>
          <cell r="C222" t="str">
            <v>16-12-2025</v>
          </cell>
          <cell r="D222" t="str">
            <v>COSCO ASIA</v>
          </cell>
          <cell r="E222" t="str">
            <v>MARITIMO</v>
          </cell>
          <cell r="F222" t="str">
            <v>SANGO</v>
          </cell>
          <cell r="G222" t="str">
            <v>ZHEJIANG OHENG IMPORT &amp; EXPORT CO.,LTD.</v>
          </cell>
          <cell r="H222" t="str">
            <v>CEREZAS</v>
          </cell>
          <cell r="I222" t="str">
            <v>LAPINS /</v>
          </cell>
          <cell r="J222" t="str">
            <v>ALMAHUE EXPORT</v>
          </cell>
          <cell r="K222" t="str">
            <v>CONS-LIBRE</v>
          </cell>
          <cell r="L222" t="str">
            <v>FOB</v>
          </cell>
          <cell r="M222" t="str">
            <v>3552</v>
          </cell>
          <cell r="N222" t="str">
            <v>602340.00</v>
          </cell>
          <cell r="O222" t="str">
            <v>68353.90</v>
          </cell>
          <cell r="P222" t="str">
            <v>0.00</v>
          </cell>
          <cell r="Q222" t="str">
            <v>432662.57</v>
          </cell>
          <cell r="R222">
            <v>1762</v>
          </cell>
          <cell r="S222" t="str">
            <v>49728.00</v>
          </cell>
          <cell r="T222" t="str">
            <v>45,353,428</v>
          </cell>
          <cell r="V222" t="str">
            <v>0.00</v>
          </cell>
          <cell r="W222">
            <v>0</v>
          </cell>
          <cell r="X222" t="str">
            <v>13165698-K</v>
          </cell>
          <cell r="Y222" t="str">
            <v>29-12-2025</v>
          </cell>
          <cell r="Z222" t="str">
            <v>SI</v>
          </cell>
          <cell r="AA222" t="str">
            <v>NO</v>
          </cell>
          <cell r="AB222" t="str">
            <v>27-07-2026</v>
          </cell>
          <cell r="AC222" t="str">
            <v>Sin Aprobar</v>
          </cell>
        </row>
        <row r="223">
          <cell r="A223">
            <v>230</v>
          </cell>
          <cell r="B223" t="str">
            <v>14-12-2025</v>
          </cell>
          <cell r="C223" t="str">
            <v>16-12-2025</v>
          </cell>
          <cell r="D223" t="str">
            <v>MSC NITYA B</v>
          </cell>
          <cell r="E223" t="str">
            <v>MARITIMO</v>
          </cell>
          <cell r="F223" t="str">
            <v>KINGO</v>
          </cell>
          <cell r="G223" t="str">
            <v>SHENZHEN FANYA XIANSHIHUI CO.,LTD</v>
          </cell>
          <cell r="H223" t="str">
            <v>CEREZAS</v>
          </cell>
          <cell r="I223" t="str">
            <v>LAPINS / SKEENA /</v>
          </cell>
          <cell r="J223" t="str">
            <v>ALMAHUE EXPORT</v>
          </cell>
          <cell r="K223" t="str">
            <v>CONS-LIBRE</v>
          </cell>
          <cell r="L223" t="str">
            <v>FOB</v>
          </cell>
          <cell r="M223" t="str">
            <v>3560</v>
          </cell>
          <cell r="N223" t="str">
            <v>634590.89</v>
          </cell>
          <cell r="O223" t="str">
            <v>71933.67</v>
          </cell>
          <cell r="P223" t="str">
            <v>0.00</v>
          </cell>
          <cell r="Q223" t="str">
            <v>444106.72</v>
          </cell>
          <cell r="R223">
            <v>1754</v>
          </cell>
          <cell r="S223" t="str">
            <v>49840.00</v>
          </cell>
          <cell r="T223" t="str">
            <v>45,455,575</v>
          </cell>
          <cell r="V223" t="str">
            <v>0.00</v>
          </cell>
          <cell r="W223">
            <v>0</v>
          </cell>
          <cell r="X223" t="str">
            <v>13164992-4</v>
          </cell>
          <cell r="Y223" t="str">
            <v>24-12-2025</v>
          </cell>
          <cell r="Z223" t="str">
            <v>SI</v>
          </cell>
          <cell r="AA223" t="str">
            <v>NO</v>
          </cell>
          <cell r="AB223" t="str">
            <v>22-07-2026</v>
          </cell>
          <cell r="AC223" t="str">
            <v>Sin Aprobar</v>
          </cell>
        </row>
        <row r="224">
          <cell r="A224">
            <v>229</v>
          </cell>
          <cell r="B224" t="str">
            <v>13-12-2025</v>
          </cell>
          <cell r="C224" t="str">
            <v>16-12-2025</v>
          </cell>
          <cell r="D224" t="str">
            <v>MSC NITYA B</v>
          </cell>
          <cell r="E224" t="str">
            <v>MARITIMO</v>
          </cell>
          <cell r="F224" t="str">
            <v>YOGO</v>
          </cell>
          <cell r="G224" t="str">
            <v>CHENGDU RAILPORT EURASIA IMPORT AND EXPORT TRADE CO.,LTD.</v>
          </cell>
          <cell r="H224" t="str">
            <v>CEREZAS</v>
          </cell>
          <cell r="I224" t="str">
            <v>LAPINS /</v>
          </cell>
          <cell r="J224" t="str">
            <v>ALMAHUE EXPORT</v>
          </cell>
          <cell r="K224" t="str">
            <v>CONS-LIBRE</v>
          </cell>
          <cell r="L224" t="str">
            <v>FOB</v>
          </cell>
          <cell r="M224" t="str">
            <v>3518</v>
          </cell>
          <cell r="N224" t="str">
            <v>68215.08</v>
          </cell>
          <cell r="O224" t="str">
            <v>10064.90</v>
          </cell>
          <cell r="P224" t="str">
            <v>0.00</v>
          </cell>
          <cell r="Q224" t="str">
            <v>39494.12</v>
          </cell>
          <cell r="R224">
            <v>1753</v>
          </cell>
          <cell r="S224" t="str">
            <v>49252.00</v>
          </cell>
          <cell r="T224" t="str">
            <v>44,919,302</v>
          </cell>
          <cell r="V224" t="str">
            <v>0.00</v>
          </cell>
          <cell r="W224">
            <v>0</v>
          </cell>
          <cell r="X224" t="str">
            <v>13165027-2</v>
          </cell>
          <cell r="Y224" t="str">
            <v>24-12-2025</v>
          </cell>
          <cell r="Z224" t="str">
            <v>SI</v>
          </cell>
          <cell r="AA224" t="str">
            <v>NO</v>
          </cell>
          <cell r="AB224" t="str">
            <v>22-07-2026</v>
          </cell>
          <cell r="AC224" t="str">
            <v>Sin Aprobar</v>
          </cell>
        </row>
        <row r="225">
          <cell r="A225">
            <v>228</v>
          </cell>
          <cell r="B225" t="str">
            <v>13-12-2025</v>
          </cell>
          <cell r="C225" t="str">
            <v>16-12-2025</v>
          </cell>
          <cell r="D225" t="str">
            <v>MSC NITYA B</v>
          </cell>
          <cell r="E225" t="str">
            <v>MARITIMO</v>
          </cell>
          <cell r="F225" t="str">
            <v>DORLUNG</v>
          </cell>
          <cell r="G225" t="str">
            <v>SHENZHEN WEI CHENG LI DE TRADE CO.,LTD</v>
          </cell>
          <cell r="H225" t="str">
            <v>CEREZAS</v>
          </cell>
          <cell r="I225" t="str">
            <v>LAPINS / SKEENA /</v>
          </cell>
          <cell r="J225" t="str">
            <v>ALMAHUE EXPORT</v>
          </cell>
          <cell r="K225" t="str">
            <v>CONS-LIBRE</v>
          </cell>
          <cell r="L225" t="str">
            <v>FOB</v>
          </cell>
          <cell r="M225" t="str">
            <v>3520</v>
          </cell>
          <cell r="N225" t="str">
            <v>105650.07</v>
          </cell>
          <cell r="O225" t="str">
            <v>10278.00</v>
          </cell>
          <cell r="P225" t="str">
            <v>0.00</v>
          </cell>
          <cell r="Q225" t="str">
            <v>71140.55</v>
          </cell>
          <cell r="R225">
            <v>1770</v>
          </cell>
          <cell r="S225" t="str">
            <v>49280.00</v>
          </cell>
          <cell r="T225" t="str">
            <v>44,944,838</v>
          </cell>
          <cell r="V225" t="str">
            <v>0.00</v>
          </cell>
          <cell r="W225">
            <v>0</v>
          </cell>
          <cell r="X225" t="str">
            <v>13165022-1</v>
          </cell>
          <cell r="Y225" t="str">
            <v>24-12-2025</v>
          </cell>
          <cell r="Z225" t="str">
            <v>SI</v>
          </cell>
          <cell r="AA225" t="str">
            <v>NO</v>
          </cell>
          <cell r="AB225" t="str">
            <v>22-07-2026</v>
          </cell>
          <cell r="AC225" t="str">
            <v>Sin Aprobar</v>
          </cell>
        </row>
        <row r="226">
          <cell r="A226">
            <v>227</v>
          </cell>
          <cell r="B226" t="str">
            <v>14-12-2025</v>
          </cell>
          <cell r="C226" t="str">
            <v>16-12-2025</v>
          </cell>
          <cell r="D226" t="str">
            <v>COSCO ASIA</v>
          </cell>
          <cell r="E226" t="str">
            <v>MARITIMO</v>
          </cell>
          <cell r="F226" t="str">
            <v>XINGWAN</v>
          </cell>
          <cell r="G226" t="str">
            <v>ZHEJIANG OHENG IMPORT &amp; EXPORT CO.,LTD.</v>
          </cell>
          <cell r="H226" t="str">
            <v>CEREZAS</v>
          </cell>
          <cell r="I226" t="str">
            <v>LAPINS /</v>
          </cell>
          <cell r="J226" t="str">
            <v>ALMAHUE EXPORT</v>
          </cell>
          <cell r="K226" t="str">
            <v>CONS-LIBRE</v>
          </cell>
          <cell r="L226" t="str">
            <v>FOB</v>
          </cell>
          <cell r="M226" t="str">
            <v>3520</v>
          </cell>
          <cell r="N226" t="str">
            <v>711230.46</v>
          </cell>
          <cell r="O226" t="str">
            <v>68353.90</v>
          </cell>
          <cell r="P226" t="str">
            <v>0.00</v>
          </cell>
          <cell r="Q226" t="str">
            <v>515640.75</v>
          </cell>
          <cell r="R226">
            <v>1761</v>
          </cell>
          <cell r="S226" t="str">
            <v>49280.00</v>
          </cell>
          <cell r="T226" t="str">
            <v>44,944,838</v>
          </cell>
          <cell r="V226" t="str">
            <v>0.00</v>
          </cell>
          <cell r="W226">
            <v>0</v>
          </cell>
          <cell r="X226" t="str">
            <v>13165686-6</v>
          </cell>
          <cell r="Y226" t="str">
            <v>24-12-2025</v>
          </cell>
          <cell r="Z226" t="str">
            <v>SI</v>
          </cell>
          <cell r="AA226" t="str">
            <v>NO</v>
          </cell>
          <cell r="AB226" t="str">
            <v>22-07-2026</v>
          </cell>
          <cell r="AC226" t="str">
            <v>Sin Aprobar</v>
          </cell>
        </row>
        <row r="227">
          <cell r="A227">
            <v>226</v>
          </cell>
          <cell r="B227" t="str">
            <v>13-12-2025</v>
          </cell>
          <cell r="C227" t="str">
            <v>18-12-2025</v>
          </cell>
          <cell r="D227" t="str">
            <v>MAERSK LIMA</v>
          </cell>
          <cell r="E227" t="str">
            <v>MARITIMO</v>
          </cell>
          <cell r="F227" t="str">
            <v>AARTSEN</v>
          </cell>
          <cell r="G227" t="str">
            <v>BINGO FRUITS GLOBAL CORPORATION LTD</v>
          </cell>
          <cell r="H227" t="str">
            <v>CEREZAS</v>
          </cell>
          <cell r="I227" t="str">
            <v>LAPINS /</v>
          </cell>
          <cell r="J227" t="str">
            <v>ALMAHUE EXPORT</v>
          </cell>
          <cell r="K227" t="str">
            <v>CONS-LIBRE</v>
          </cell>
          <cell r="L227" t="str">
            <v>FOB</v>
          </cell>
          <cell r="M227" t="str">
            <v>3520</v>
          </cell>
          <cell r="N227" t="str">
            <v>141404.10</v>
          </cell>
          <cell r="O227" t="str">
            <v>10032.00</v>
          </cell>
          <cell r="P227" t="str">
            <v>0.00</v>
          </cell>
          <cell r="Q227" t="str">
            <v>101022.77</v>
          </cell>
          <cell r="R227">
            <v>1780</v>
          </cell>
          <cell r="S227" t="str">
            <v>49280.00</v>
          </cell>
          <cell r="T227" t="str">
            <v>45,211,936</v>
          </cell>
          <cell r="V227" t="str">
            <v>0.00</v>
          </cell>
          <cell r="W227">
            <v>0</v>
          </cell>
          <cell r="X227" t="str">
            <v>13164193-1</v>
          </cell>
          <cell r="Y227" t="str">
            <v>06-01-2026</v>
          </cell>
          <cell r="Z227" t="str">
            <v>SI</v>
          </cell>
          <cell r="AA227" t="str">
            <v>NO</v>
          </cell>
          <cell r="AB227" t="str">
            <v>04-08-2026</v>
          </cell>
          <cell r="AC227" t="str">
            <v>Sin Aprobar</v>
          </cell>
        </row>
        <row r="228">
          <cell r="A228">
            <v>225</v>
          </cell>
          <cell r="B228" t="str">
            <v>13-12-2025</v>
          </cell>
          <cell r="C228" t="str">
            <v>18-12-2025</v>
          </cell>
          <cell r="D228" t="str">
            <v>MAERSK LIMA</v>
          </cell>
          <cell r="E228" t="str">
            <v>MARITIMO</v>
          </cell>
          <cell r="F228" t="str">
            <v>JWM ASIA</v>
          </cell>
          <cell r="G228" t="str">
            <v>GREEN GARDEN FRESH CO., LTD</v>
          </cell>
          <cell r="H228" t="str">
            <v>CEREZAS</v>
          </cell>
          <cell r="I228" t="str">
            <v>LAPINS /</v>
          </cell>
          <cell r="J228" t="str">
            <v>ALMAHUE EXPORT</v>
          </cell>
          <cell r="K228" t="str">
            <v>CONS-LIBRE</v>
          </cell>
          <cell r="L228" t="str">
            <v>FOB</v>
          </cell>
          <cell r="M228" t="str">
            <v>3520</v>
          </cell>
          <cell r="N228" t="str">
            <v>93556.32</v>
          </cell>
          <cell r="O228" t="str">
            <v>10279.38</v>
          </cell>
          <cell r="P228" t="str">
            <v>0.00</v>
          </cell>
          <cell r="Q228" t="str">
            <v>55974.20</v>
          </cell>
          <cell r="R228">
            <v>1765</v>
          </cell>
          <cell r="S228" t="str">
            <v>49280.00</v>
          </cell>
          <cell r="T228" t="str">
            <v>45,211,936</v>
          </cell>
          <cell r="V228" t="str">
            <v>0.00</v>
          </cell>
          <cell r="W228">
            <v>0</v>
          </cell>
          <cell r="X228" t="str">
            <v>13164176-1</v>
          </cell>
          <cell r="Y228" t="str">
            <v>06-01-2026</v>
          </cell>
          <cell r="Z228" t="str">
            <v>SI</v>
          </cell>
          <cell r="AA228" t="str">
            <v>NO</v>
          </cell>
          <cell r="AB228" t="str">
            <v>04-08-2026</v>
          </cell>
          <cell r="AC228" t="str">
            <v>Sin Aprobar</v>
          </cell>
        </row>
        <row r="229">
          <cell r="A229">
            <v>224</v>
          </cell>
          <cell r="B229" t="str">
            <v>14-12-2025</v>
          </cell>
          <cell r="C229" t="str">
            <v>16-12-2025</v>
          </cell>
          <cell r="D229" t="str">
            <v>COSCO ASIA</v>
          </cell>
          <cell r="E229" t="str">
            <v>MARITIMO</v>
          </cell>
          <cell r="F229" t="str">
            <v>WUHAN CCMAX FRUITS CO., LTD</v>
          </cell>
          <cell r="G229" t="str">
            <v>ZHIYOU (TIANJIN) IMPORT AND EXPORT CO, LTD</v>
          </cell>
          <cell r="H229" t="str">
            <v>CEREZAS</v>
          </cell>
          <cell r="I229" t="str">
            <v>LAPINS /</v>
          </cell>
          <cell r="J229" t="str">
            <v>ALMAHUE EXPORT</v>
          </cell>
          <cell r="K229" t="str">
            <v>CONS-LIBRE</v>
          </cell>
          <cell r="L229" t="str">
            <v>FOB</v>
          </cell>
          <cell r="M229" t="str">
            <v>3520</v>
          </cell>
          <cell r="N229" t="str">
            <v>96657.79</v>
          </cell>
          <cell r="O229" t="str">
            <v>10017.33</v>
          </cell>
          <cell r="P229" t="str">
            <v>0.00</v>
          </cell>
          <cell r="Q229" t="str">
            <v>69772.85</v>
          </cell>
          <cell r="R229">
            <v>1777</v>
          </cell>
          <cell r="S229" t="str">
            <v>49280.00</v>
          </cell>
          <cell r="T229" t="str">
            <v>44,944,838</v>
          </cell>
          <cell r="V229" t="str">
            <v>0.00</v>
          </cell>
          <cell r="W229">
            <v>0</v>
          </cell>
          <cell r="X229" t="str">
            <v>13165684-K</v>
          </cell>
          <cell r="Y229" t="str">
            <v>29-12-2025</v>
          </cell>
          <cell r="Z229" t="str">
            <v>SI</v>
          </cell>
          <cell r="AA229" t="str">
            <v>NO</v>
          </cell>
          <cell r="AB229" t="str">
            <v>27-07-2026</v>
          </cell>
          <cell r="AC229" t="str">
            <v>Sin Aprobar</v>
          </cell>
        </row>
        <row r="230">
          <cell r="A230">
            <v>223</v>
          </cell>
          <cell r="B230" t="str">
            <v>14-12-2025</v>
          </cell>
          <cell r="C230" t="str">
            <v>16-12-2025</v>
          </cell>
          <cell r="D230" t="str">
            <v>COSCO ASIA</v>
          </cell>
          <cell r="E230" t="str">
            <v>MARITIMO</v>
          </cell>
          <cell r="F230" t="str">
            <v>SANGO</v>
          </cell>
          <cell r="G230" t="str">
            <v>ZHEJIANG OHENG IMPORT &amp; EXPORT CO.,LTD.</v>
          </cell>
          <cell r="H230" t="str">
            <v>CEREZAS</v>
          </cell>
          <cell r="I230" t="str">
            <v>LAPINS /</v>
          </cell>
          <cell r="J230" t="str">
            <v>ALMAHUE EXPORT</v>
          </cell>
          <cell r="K230" t="str">
            <v>CONS-LIBRE</v>
          </cell>
          <cell r="L230" t="str">
            <v>FOB</v>
          </cell>
          <cell r="M230" t="str">
            <v>3520</v>
          </cell>
          <cell r="N230" t="str">
            <v>968000.00</v>
          </cell>
          <cell r="O230" t="str">
            <v>68353.90</v>
          </cell>
          <cell r="P230" t="str">
            <v>0.00</v>
          </cell>
          <cell r="Q230" t="str">
            <v>745006.17</v>
          </cell>
          <cell r="R230">
            <v>1760</v>
          </cell>
          <cell r="S230" t="str">
            <v>49280.00</v>
          </cell>
          <cell r="T230" t="str">
            <v>44,944,838</v>
          </cell>
          <cell r="V230" t="str">
            <v>0.00</v>
          </cell>
          <cell r="W230">
            <v>0</v>
          </cell>
          <cell r="X230" t="str">
            <v>13165677-7</v>
          </cell>
          <cell r="Y230" t="str">
            <v>29-12-2025</v>
          </cell>
          <cell r="Z230" t="str">
            <v>SI</v>
          </cell>
          <cell r="AA230" t="str">
            <v>NO</v>
          </cell>
          <cell r="AB230" t="str">
            <v>27-07-2026</v>
          </cell>
          <cell r="AC230" t="str">
            <v>Sin Aprobar</v>
          </cell>
        </row>
        <row r="231">
          <cell r="A231">
            <v>222</v>
          </cell>
          <cell r="B231" t="str">
            <v>14-12-2025</v>
          </cell>
          <cell r="C231" t="str">
            <v>16-12-2025</v>
          </cell>
          <cell r="D231" t="str">
            <v>COSCO ASIA</v>
          </cell>
          <cell r="E231" t="str">
            <v>MARITIMO</v>
          </cell>
          <cell r="F231" t="str">
            <v>FRUITJOY</v>
          </cell>
          <cell r="G231" t="str">
            <v>ZHIYOU FRESH (SHENZHEN) CO.,LTD</v>
          </cell>
          <cell r="H231" t="str">
            <v>CEREZAS</v>
          </cell>
          <cell r="I231" t="str">
            <v>LAPINS /</v>
          </cell>
          <cell r="J231" t="str">
            <v>ALMAHUE EXPORT</v>
          </cell>
          <cell r="K231" t="str">
            <v>CONS-LIBRE</v>
          </cell>
          <cell r="L231" t="str">
            <v>FOB</v>
          </cell>
          <cell r="M231" t="str">
            <v>3520</v>
          </cell>
          <cell r="N231" t="str">
            <v>79186.33</v>
          </cell>
          <cell r="O231" t="str">
            <v>9567.03</v>
          </cell>
          <cell r="P231" t="str">
            <v>0.00</v>
          </cell>
          <cell r="Q231" t="str">
            <v>52727.19</v>
          </cell>
          <cell r="R231">
            <v>1776</v>
          </cell>
          <cell r="S231" t="str">
            <v>49280.00</v>
          </cell>
          <cell r="T231" t="str">
            <v>44,944,838</v>
          </cell>
          <cell r="V231" t="str">
            <v>0.00</v>
          </cell>
          <cell r="W231">
            <v>0</v>
          </cell>
          <cell r="X231" t="str">
            <v>13165682-3</v>
          </cell>
          <cell r="Y231" t="str">
            <v>26-12-2025</v>
          </cell>
          <cell r="Z231" t="str">
            <v>SI</v>
          </cell>
          <cell r="AA231" t="str">
            <v>NO</v>
          </cell>
          <cell r="AB231" t="str">
            <v>24-07-2026</v>
          </cell>
          <cell r="AC231" t="str">
            <v>Sin Aprobar</v>
          </cell>
        </row>
        <row r="232">
          <cell r="A232">
            <v>221</v>
          </cell>
          <cell r="B232" t="str">
            <v>13-12-2025</v>
          </cell>
          <cell r="C232" t="str">
            <v>16-12-2025</v>
          </cell>
          <cell r="D232" t="str">
            <v>COSCO ASIA</v>
          </cell>
          <cell r="E232" t="str">
            <v>MARITIMO</v>
          </cell>
          <cell r="F232" t="str">
            <v>CHEN SUN</v>
          </cell>
          <cell r="G232" t="str">
            <v>LUSHANG INTERNATIONAL TRADE CO., LTD.</v>
          </cell>
          <cell r="H232" t="str">
            <v>CEREZAS</v>
          </cell>
          <cell r="I232" t="str">
            <v>LAPINS /</v>
          </cell>
          <cell r="J232" t="str">
            <v>ALMAHUE EXPORT</v>
          </cell>
          <cell r="K232" t="str">
            <v>CONS-LIBRE</v>
          </cell>
          <cell r="L232" t="str">
            <v>FOB</v>
          </cell>
          <cell r="M232" t="str">
            <v>3544</v>
          </cell>
          <cell r="N232" t="str">
            <v>584330.44</v>
          </cell>
          <cell r="O232" t="str">
            <v>65104.00</v>
          </cell>
          <cell r="P232" t="str">
            <v>0.00</v>
          </cell>
          <cell r="Q232" t="str">
            <v>380083.91</v>
          </cell>
          <cell r="R232">
            <v>1774</v>
          </cell>
          <cell r="S232" t="str">
            <v>49616.00</v>
          </cell>
          <cell r="T232" t="str">
            <v>45,251,280</v>
          </cell>
          <cell r="V232" t="str">
            <v>0.00</v>
          </cell>
          <cell r="W232">
            <v>0</v>
          </cell>
          <cell r="X232" t="str">
            <v>13164594-5</v>
          </cell>
          <cell r="Y232" t="str">
            <v>29-12-2025</v>
          </cell>
          <cell r="Z232" t="str">
            <v>SI</v>
          </cell>
          <cell r="AA232" t="str">
            <v>NO</v>
          </cell>
          <cell r="AB232" t="str">
            <v>27-07-2026</v>
          </cell>
          <cell r="AC232" t="str">
            <v>Sin Aprobar</v>
          </cell>
        </row>
        <row r="233">
          <cell r="A233">
            <v>220</v>
          </cell>
          <cell r="B233" t="str">
            <v>14-12-2025</v>
          </cell>
          <cell r="C233" t="str">
            <v>16-12-2025</v>
          </cell>
          <cell r="D233" t="str">
            <v>COSCO ASIA</v>
          </cell>
          <cell r="E233" t="str">
            <v>MARITIMO</v>
          </cell>
          <cell r="F233" t="str">
            <v>SUNHOLA</v>
          </cell>
          <cell r="G233" t="str">
            <v>HUBEI SHOUHENG SUPPLY CHAIN MANAGEMENT CO. , LTD</v>
          </cell>
          <cell r="H233" t="str">
            <v>CEREZAS</v>
          </cell>
          <cell r="I233" t="str">
            <v>LAPINS /</v>
          </cell>
          <cell r="J233" t="str">
            <v>ALMAHUE EXPORT</v>
          </cell>
          <cell r="K233" t="str">
            <v>CONS-LIBRE</v>
          </cell>
          <cell r="L233" t="str">
            <v>FOB</v>
          </cell>
          <cell r="M233" t="str">
            <v>3520</v>
          </cell>
          <cell r="N233" t="str">
            <v>723410.00</v>
          </cell>
          <cell r="O233" t="str">
            <v>68709.23</v>
          </cell>
          <cell r="P233" t="str">
            <v>0.00</v>
          </cell>
          <cell r="Q233" t="str">
            <v>522841.01</v>
          </cell>
          <cell r="R233">
            <v>1775</v>
          </cell>
          <cell r="S233" t="str">
            <v>49280.00</v>
          </cell>
          <cell r="T233" t="str">
            <v>44,944,838</v>
          </cell>
          <cell r="V233" t="str">
            <v>0.00</v>
          </cell>
          <cell r="W233">
            <v>0</v>
          </cell>
          <cell r="X233" t="str">
            <v>13165691-2</v>
          </cell>
          <cell r="Y233" t="str">
            <v>29-12-2025</v>
          </cell>
          <cell r="Z233" t="str">
            <v>SI</v>
          </cell>
          <cell r="AA233" t="str">
            <v>NO</v>
          </cell>
          <cell r="AB233" t="str">
            <v>27-07-2026</v>
          </cell>
          <cell r="AC233" t="str">
            <v>Sin Aprobar</v>
          </cell>
        </row>
        <row r="234">
          <cell r="A234">
            <v>219</v>
          </cell>
          <cell r="B234" t="str">
            <v>14-12-2025</v>
          </cell>
          <cell r="C234" t="str">
            <v>16-12-2025</v>
          </cell>
          <cell r="D234" t="str">
            <v>COSCO ASIA</v>
          </cell>
          <cell r="E234" t="str">
            <v>MARITIMO</v>
          </cell>
          <cell r="F234" t="str">
            <v>ZEGOO</v>
          </cell>
          <cell r="G234" t="str">
            <v>ZHEJIANG OHENG IMPORT &amp; EXPORT CO., LTD.</v>
          </cell>
          <cell r="H234" t="str">
            <v>CEREZAS</v>
          </cell>
          <cell r="I234" t="str">
            <v>LAPINS / SKEENA /</v>
          </cell>
          <cell r="J234" t="str">
            <v>ALMAHUE EXPORT</v>
          </cell>
          <cell r="K234" t="str">
            <v>CONS-LIBRE</v>
          </cell>
          <cell r="L234" t="str">
            <v>FOB</v>
          </cell>
          <cell r="M234" t="str">
            <v>3552</v>
          </cell>
          <cell r="N234" t="str">
            <v>672055.26</v>
          </cell>
          <cell r="O234" t="str">
            <v>68353.90</v>
          </cell>
          <cell r="P234" t="str">
            <v>0.00</v>
          </cell>
          <cell r="Q234" t="str">
            <v>484761.50</v>
          </cell>
          <cell r="R234">
            <v>1759</v>
          </cell>
          <cell r="S234" t="str">
            <v>49728.00</v>
          </cell>
          <cell r="T234" t="str">
            <v>45,353,428</v>
          </cell>
          <cell r="V234" t="str">
            <v>0.00</v>
          </cell>
          <cell r="W234">
            <v>0</v>
          </cell>
          <cell r="X234" t="str">
            <v>13165674-2</v>
          </cell>
          <cell r="Y234" t="str">
            <v>29-12-2025</v>
          </cell>
          <cell r="Z234" t="str">
            <v>SI</v>
          </cell>
          <cell r="AA234" t="str">
            <v>NO</v>
          </cell>
          <cell r="AB234" t="str">
            <v>27-07-2026</v>
          </cell>
          <cell r="AC234" t="str">
            <v>Sin Aprobar</v>
          </cell>
        </row>
        <row r="235">
          <cell r="A235">
            <v>218</v>
          </cell>
          <cell r="B235" t="str">
            <v>12-12-2025</v>
          </cell>
          <cell r="C235" t="str">
            <v>16-12-2025</v>
          </cell>
          <cell r="D235" t="str">
            <v>COSCO ASIA</v>
          </cell>
          <cell r="E235" t="str">
            <v>MARITIMO</v>
          </cell>
          <cell r="F235" t="str">
            <v>PAGODA</v>
          </cell>
          <cell r="G235" t="str">
            <v>SHANGHAI HUI ZHAN INTERNATIONAL TRADE CO., LTD</v>
          </cell>
          <cell r="H235" t="str">
            <v>CEREZAS</v>
          </cell>
          <cell r="I235" t="str">
            <v>LAPINS /</v>
          </cell>
          <cell r="J235" t="str">
            <v>ALMAHUE EXPORT</v>
          </cell>
          <cell r="K235" t="str">
            <v>CONS-LIBRE</v>
          </cell>
          <cell r="L235" t="str">
            <v>FOB</v>
          </cell>
          <cell r="M235" t="str">
            <v>3520</v>
          </cell>
          <cell r="N235" t="str">
            <v>100714.24</v>
          </cell>
          <cell r="O235" t="str">
            <v>9738.83</v>
          </cell>
          <cell r="P235" t="str">
            <v>0.00</v>
          </cell>
          <cell r="Q235" t="str">
            <v>74440.15</v>
          </cell>
          <cell r="R235">
            <v>1758</v>
          </cell>
          <cell r="S235" t="str">
            <v>49280.00</v>
          </cell>
          <cell r="T235" t="str">
            <v>44,944,838</v>
          </cell>
          <cell r="V235" t="str">
            <v>0.00</v>
          </cell>
          <cell r="W235">
            <v>0</v>
          </cell>
          <cell r="X235" t="str">
            <v>13162118-3</v>
          </cell>
          <cell r="Y235" t="str">
            <v>29-12-2025</v>
          </cell>
          <cell r="Z235" t="str">
            <v>SI</v>
          </cell>
          <cell r="AA235" t="str">
            <v>NO</v>
          </cell>
          <cell r="AB235" t="str">
            <v>27-07-2026</v>
          </cell>
          <cell r="AC235" t="str">
            <v>Sin Aprobar</v>
          </cell>
        </row>
        <row r="236">
          <cell r="A236">
            <v>217</v>
          </cell>
          <cell r="B236" t="str">
            <v>13-12-2025</v>
          </cell>
          <cell r="C236" t="str">
            <v>16-12-2025</v>
          </cell>
          <cell r="D236" t="str">
            <v>COSCO ASIA</v>
          </cell>
          <cell r="E236" t="str">
            <v>MARITIMO</v>
          </cell>
          <cell r="F236" t="str">
            <v>YUERUN TRADING</v>
          </cell>
          <cell r="G236" t="str">
            <v>SHENZHEN FANYA XIANSHIHUI CO.,LTD</v>
          </cell>
          <cell r="H236" t="str">
            <v>CEREZAS</v>
          </cell>
          <cell r="I236" t="str">
            <v>LAPINS / REGINA /</v>
          </cell>
          <cell r="J236" t="str">
            <v>ALMAHUE EXPORT</v>
          </cell>
          <cell r="K236" t="str">
            <v>CONS-LIBRE</v>
          </cell>
          <cell r="L236" t="str">
            <v>FOB</v>
          </cell>
          <cell r="M236" t="str">
            <v>3544</v>
          </cell>
          <cell r="N236" t="str">
            <v>718410.00</v>
          </cell>
          <cell r="O236" t="str">
            <v>68584.62</v>
          </cell>
          <cell r="P236" t="str">
            <v>0.00</v>
          </cell>
          <cell r="Q236" t="str">
            <v>528007.97</v>
          </cell>
          <cell r="R236">
            <v>1773</v>
          </cell>
          <cell r="S236" t="str">
            <v>49616.00</v>
          </cell>
          <cell r="T236" t="str">
            <v>45,251,280</v>
          </cell>
          <cell r="V236" t="str">
            <v>0.00</v>
          </cell>
          <cell r="W236">
            <v>0</v>
          </cell>
          <cell r="X236" t="str">
            <v>13164921-5</v>
          </cell>
          <cell r="Y236" t="str">
            <v>24-12-2025</v>
          </cell>
          <cell r="Z236" t="str">
            <v>SI</v>
          </cell>
          <cell r="AA236" t="str">
            <v>NO</v>
          </cell>
          <cell r="AB236" t="str">
            <v>22-07-2026</v>
          </cell>
          <cell r="AC236" t="str">
            <v>Sin Aprobar</v>
          </cell>
        </row>
        <row r="237">
          <cell r="A237">
            <v>216</v>
          </cell>
          <cell r="B237" t="str">
            <v>14-12-2025</v>
          </cell>
          <cell r="C237" t="str">
            <v>16-12-2025</v>
          </cell>
          <cell r="D237" t="str">
            <v>MSC NITYA B</v>
          </cell>
          <cell r="E237" t="str">
            <v>MARITIMO</v>
          </cell>
          <cell r="F237" t="str">
            <v>XINGWAN</v>
          </cell>
          <cell r="G237" t="str">
            <v>SHENZHEN OHENG IMPORT &amp; EXPORT CO.,LTD.</v>
          </cell>
          <cell r="H237" t="str">
            <v>CEREZAS</v>
          </cell>
          <cell r="I237" t="str">
            <v>LAPINS /</v>
          </cell>
          <cell r="J237" t="str">
            <v>ALMAHUE EXPORT</v>
          </cell>
          <cell r="K237" t="str">
            <v>CONS-LIBRE</v>
          </cell>
          <cell r="L237" t="str">
            <v>FOB</v>
          </cell>
          <cell r="M237" t="str">
            <v>3520</v>
          </cell>
          <cell r="N237" t="str">
            <v>673926.00</v>
          </cell>
          <cell r="O237" t="str">
            <v>72064.50</v>
          </cell>
          <cell r="P237" t="str">
            <v>0.00</v>
          </cell>
          <cell r="Q237" t="str">
            <v>469602.87</v>
          </cell>
          <cell r="R237">
            <v>1752</v>
          </cell>
          <cell r="S237" t="str">
            <v>49280.00</v>
          </cell>
          <cell r="T237" t="str">
            <v>44,944,838</v>
          </cell>
          <cell r="V237" t="str">
            <v>0.00</v>
          </cell>
          <cell r="W237">
            <v>0</v>
          </cell>
          <cell r="X237" t="str">
            <v>13165690-4</v>
          </cell>
          <cell r="Y237" t="str">
            <v>24-12-2025</v>
          </cell>
          <cell r="Z237" t="str">
            <v>SI</v>
          </cell>
          <cell r="AA237" t="str">
            <v>NO</v>
          </cell>
          <cell r="AB237" t="str">
            <v>22-07-2026</v>
          </cell>
          <cell r="AC237" t="str">
            <v>Sin Aprobar</v>
          </cell>
        </row>
        <row r="238">
          <cell r="A238">
            <v>215</v>
          </cell>
          <cell r="B238" t="str">
            <v>13-12-2025</v>
          </cell>
          <cell r="C238" t="str">
            <v>16-12-2025</v>
          </cell>
          <cell r="D238" t="str">
            <v>COSCO ASIA</v>
          </cell>
          <cell r="E238" t="str">
            <v>MARITIMO</v>
          </cell>
          <cell r="F238" t="str">
            <v>YOGO</v>
          </cell>
          <cell r="G238" t="str">
            <v>CHENGDU RAILPORT EURASIA IMPORT AND EXPORT TRADE CO.,LTD.</v>
          </cell>
          <cell r="H238" t="str">
            <v>CEREZAS</v>
          </cell>
          <cell r="I238" t="str">
            <v>LAPINS /</v>
          </cell>
          <cell r="J238" t="str">
            <v>ALMAHUE EXPORT</v>
          </cell>
          <cell r="K238" t="str">
            <v>CONS-LIBRE</v>
          </cell>
          <cell r="L238" t="str">
            <v>FOB</v>
          </cell>
          <cell r="M238" t="str">
            <v>3520</v>
          </cell>
          <cell r="N238" t="str">
            <v>75158.96</v>
          </cell>
          <cell r="O238" t="str">
            <v>9105.42</v>
          </cell>
          <cell r="P238" t="str">
            <v>0.00</v>
          </cell>
          <cell r="Q238" t="str">
            <v>46675.60</v>
          </cell>
          <cell r="R238">
            <v>1757</v>
          </cell>
          <cell r="S238" t="str">
            <v>49280.00</v>
          </cell>
          <cell r="T238" t="str">
            <v>44,944,838</v>
          </cell>
          <cell r="V238" t="str">
            <v>0.00</v>
          </cell>
          <cell r="W238">
            <v>0</v>
          </cell>
          <cell r="X238" t="str">
            <v>13164591-0</v>
          </cell>
          <cell r="Y238" t="str">
            <v>29-12-2025</v>
          </cell>
          <cell r="Z238" t="str">
            <v>SI</v>
          </cell>
          <cell r="AA238" t="str">
            <v>NO</v>
          </cell>
          <cell r="AB238" t="str">
            <v>27-07-2026</v>
          </cell>
          <cell r="AC238" t="str">
            <v>Sin Aprobar</v>
          </cell>
        </row>
        <row r="239">
          <cell r="A239">
            <v>214</v>
          </cell>
          <cell r="B239" t="str">
            <v>13-12-2025</v>
          </cell>
          <cell r="C239" t="str">
            <v>16-12-2025</v>
          </cell>
          <cell r="D239" t="str">
            <v>COSCO ASIA</v>
          </cell>
          <cell r="E239" t="str">
            <v>MARITIMO</v>
          </cell>
          <cell r="F239" t="str">
            <v>KINGO</v>
          </cell>
          <cell r="G239" t="str">
            <v>KINGO SHANGHAI CO.,LTD.</v>
          </cell>
          <cell r="H239" t="str">
            <v>CEREZAS</v>
          </cell>
          <cell r="I239" t="str">
            <v>LAPINS /</v>
          </cell>
          <cell r="J239" t="str">
            <v>ALMAHUE EXPORT</v>
          </cell>
          <cell r="K239" t="str">
            <v>CONS-LIBRE</v>
          </cell>
          <cell r="L239" t="str">
            <v>FOB</v>
          </cell>
          <cell r="M239" t="str">
            <v>3520</v>
          </cell>
          <cell r="N239" t="str">
            <v>914080.64</v>
          </cell>
          <cell r="O239" t="str">
            <v>68240.25</v>
          </cell>
          <cell r="P239" t="str">
            <v>0.00</v>
          </cell>
          <cell r="Q239" t="str">
            <v>691195.84</v>
          </cell>
          <cell r="R239">
            <v>1756</v>
          </cell>
          <cell r="S239" t="str">
            <v>49280.00</v>
          </cell>
          <cell r="T239" t="str">
            <v>44,944,838</v>
          </cell>
          <cell r="V239" t="str">
            <v>0.00</v>
          </cell>
          <cell r="W239">
            <v>0</v>
          </cell>
          <cell r="X239" t="str">
            <v>13163730-6</v>
          </cell>
          <cell r="Y239" t="str">
            <v>29-12-2025</v>
          </cell>
          <cell r="Z239" t="str">
            <v>SI</v>
          </cell>
          <cell r="AA239" t="str">
            <v>NO</v>
          </cell>
          <cell r="AB239" t="str">
            <v>27-07-2026</v>
          </cell>
          <cell r="AC239" t="str">
            <v>Sin Aprobar</v>
          </cell>
        </row>
        <row r="240">
          <cell r="A240">
            <v>213</v>
          </cell>
          <cell r="B240" t="str">
            <v>13-12-2025</v>
          </cell>
          <cell r="C240" t="str">
            <v>16-12-2025</v>
          </cell>
          <cell r="D240" t="str">
            <v>COSCO ASIA</v>
          </cell>
          <cell r="E240" t="str">
            <v>MARITIMO</v>
          </cell>
          <cell r="F240" t="str">
            <v>WUHAN CCMAX FRUITS CO., LTD</v>
          </cell>
          <cell r="G240" t="str">
            <v>OPTIMIZE INTEGRATION GROUP INC</v>
          </cell>
          <cell r="H240" t="str">
            <v>CEREZAS</v>
          </cell>
          <cell r="I240" t="str">
            <v>LAPINS /</v>
          </cell>
          <cell r="J240" t="str">
            <v>ALMAHUE EXPORT</v>
          </cell>
          <cell r="K240" t="str">
            <v>CONS-LIBRE</v>
          </cell>
          <cell r="L240" t="str">
            <v>FOB</v>
          </cell>
          <cell r="M240" t="str">
            <v>3520</v>
          </cell>
          <cell r="N240" t="str">
            <v>100768.80</v>
          </cell>
          <cell r="O240" t="str">
            <v>9818.21</v>
          </cell>
          <cell r="P240" t="str">
            <v>0.00</v>
          </cell>
          <cell r="Q240" t="str">
            <v>69989.83</v>
          </cell>
          <cell r="R240">
            <v>1772</v>
          </cell>
          <cell r="S240" t="str">
            <v>49280.00</v>
          </cell>
          <cell r="T240" t="str">
            <v>44,944,838</v>
          </cell>
          <cell r="V240" t="str">
            <v>0.00</v>
          </cell>
          <cell r="W240">
            <v>0</v>
          </cell>
          <cell r="X240" t="str">
            <v>13164898-7</v>
          </cell>
          <cell r="Y240" t="str">
            <v>24-12-2025</v>
          </cell>
          <cell r="Z240" t="str">
            <v>SI</v>
          </cell>
          <cell r="AA240" t="str">
            <v>NO</v>
          </cell>
          <cell r="AB240" t="str">
            <v>22-07-2026</v>
          </cell>
          <cell r="AC240" t="str">
            <v>Sin Aprobar</v>
          </cell>
        </row>
        <row r="241">
          <cell r="A241">
            <v>212</v>
          </cell>
          <cell r="B241" t="str">
            <v>13-12-2025</v>
          </cell>
          <cell r="C241" t="str">
            <v>16-12-2025</v>
          </cell>
          <cell r="D241" t="str">
            <v>COSCO ASIA</v>
          </cell>
          <cell r="E241" t="str">
            <v>MARITIMO</v>
          </cell>
          <cell r="F241" t="str">
            <v>SANGO</v>
          </cell>
          <cell r="G241" t="str">
            <v>ZHEJIANG OHENG IMPORT &amp; EXPORT CO.,LTD.</v>
          </cell>
          <cell r="H241" t="str">
            <v>CEREZAS</v>
          </cell>
          <cell r="I241" t="str">
            <v>LAPINS /</v>
          </cell>
          <cell r="J241" t="str">
            <v>ALMAHUE EXPORT</v>
          </cell>
          <cell r="K241" t="str">
            <v>CONS-LIBRE</v>
          </cell>
          <cell r="L241" t="str">
            <v>FOB</v>
          </cell>
          <cell r="M241" t="str">
            <v>3544</v>
          </cell>
          <cell r="N241" t="str">
            <v>675040.00</v>
          </cell>
          <cell r="O241" t="str">
            <v>68353.90</v>
          </cell>
          <cell r="P241" t="str">
            <v>0.00</v>
          </cell>
          <cell r="Q241" t="str">
            <v>490982.49</v>
          </cell>
          <cell r="R241">
            <v>1755</v>
          </cell>
          <cell r="S241" t="str">
            <v>49616.00</v>
          </cell>
          <cell r="T241" t="str">
            <v>45,251,280</v>
          </cell>
          <cell r="V241" t="str">
            <v>0.00</v>
          </cell>
          <cell r="W241">
            <v>0</v>
          </cell>
          <cell r="X241" t="str">
            <v>13163729-2</v>
          </cell>
          <cell r="Y241" t="str">
            <v>29-12-2025</v>
          </cell>
          <cell r="Z241" t="str">
            <v>SI</v>
          </cell>
          <cell r="AA241" t="str">
            <v>NO</v>
          </cell>
          <cell r="AB241" t="str">
            <v>27-07-2026</v>
          </cell>
          <cell r="AC241" t="str">
            <v>Sin Aprobar</v>
          </cell>
        </row>
        <row r="242">
          <cell r="A242">
            <v>211</v>
          </cell>
          <cell r="B242" t="str">
            <v>13-12-2025</v>
          </cell>
          <cell r="C242" t="str">
            <v>16-12-2025</v>
          </cell>
          <cell r="D242" t="str">
            <v>COSCO ASIA</v>
          </cell>
          <cell r="E242" t="str">
            <v>MARITIMO</v>
          </cell>
          <cell r="F242" t="str">
            <v>FRUITJOY</v>
          </cell>
          <cell r="G242" t="str">
            <v>OPTIMIZE INTEGRATION GROUP INC</v>
          </cell>
          <cell r="H242" t="str">
            <v>CEREZAS</v>
          </cell>
          <cell r="I242" t="str">
            <v>LAPINS /</v>
          </cell>
          <cell r="J242" t="str">
            <v>ALMAHUE EXPORT</v>
          </cell>
          <cell r="K242" t="str">
            <v>CONS-LIBRE</v>
          </cell>
          <cell r="L242" t="str">
            <v>FOB</v>
          </cell>
          <cell r="M242" t="str">
            <v>3520</v>
          </cell>
          <cell r="N242" t="str">
            <v>93859.64</v>
          </cell>
          <cell r="O242" t="str">
            <v>9567.03</v>
          </cell>
          <cell r="P242" t="str">
            <v>0.00</v>
          </cell>
          <cell r="Q242" t="str">
            <v>65114.43</v>
          </cell>
          <cell r="R242">
            <v>1771</v>
          </cell>
          <cell r="S242" t="str">
            <v>49280.00</v>
          </cell>
          <cell r="T242" t="str">
            <v>44,944,838</v>
          </cell>
          <cell r="V242" t="str">
            <v>0.00</v>
          </cell>
          <cell r="W242">
            <v>0</v>
          </cell>
          <cell r="X242" t="str">
            <v>13164908-8</v>
          </cell>
          <cell r="Y242" t="str">
            <v>24-12-2025</v>
          </cell>
          <cell r="Z242" t="str">
            <v>SI</v>
          </cell>
          <cell r="AA242" t="str">
            <v>NO</v>
          </cell>
          <cell r="AB242" t="str">
            <v>22-07-2026</v>
          </cell>
          <cell r="AC242" t="str">
            <v>Sin Aprobar</v>
          </cell>
        </row>
        <row r="243">
          <cell r="A243">
            <v>210</v>
          </cell>
          <cell r="B243" t="str">
            <v>12-12-2025</v>
          </cell>
          <cell r="C243" t="str">
            <v>16-12-2025</v>
          </cell>
          <cell r="D243" t="str">
            <v>MSC NITYA B</v>
          </cell>
          <cell r="E243" t="str">
            <v>MARITIMO</v>
          </cell>
          <cell r="F243" t="str">
            <v>HING LEE</v>
          </cell>
          <cell r="G243" t="str">
            <v>SHENZHEN JINSHUN'AN INTERNATIONAL FREIGHT FORWARDING CO.,LTD</v>
          </cell>
          <cell r="H243" t="str">
            <v>CEREZAS</v>
          </cell>
          <cell r="I243" t="str">
            <v>LAPINS /</v>
          </cell>
          <cell r="J243" t="str">
            <v>ALMAHUE EXPORT</v>
          </cell>
          <cell r="K243" t="str">
            <v>CONS-LIBRE</v>
          </cell>
          <cell r="L243" t="str">
            <v>FOB</v>
          </cell>
          <cell r="M243" t="str">
            <v>3520</v>
          </cell>
          <cell r="N243" t="str">
            <v>76468.28</v>
          </cell>
          <cell r="O243" t="str">
            <v>10181.17</v>
          </cell>
          <cell r="P243" t="str">
            <v>0.00</v>
          </cell>
          <cell r="Q243" t="str">
            <v>43192.01</v>
          </cell>
          <cell r="R243">
            <v>1769</v>
          </cell>
          <cell r="S243" t="str">
            <v>49280.00</v>
          </cell>
          <cell r="T243" t="str">
            <v>44,944,838</v>
          </cell>
          <cell r="V243" t="str">
            <v>0.00</v>
          </cell>
          <cell r="W243">
            <v>0</v>
          </cell>
          <cell r="X243" t="str">
            <v>13161593-0</v>
          </cell>
          <cell r="Y243" t="str">
            <v>24-12-2025</v>
          </cell>
          <cell r="Z243" t="str">
            <v>SI</v>
          </cell>
          <cell r="AA243" t="str">
            <v>NO</v>
          </cell>
          <cell r="AB243" t="str">
            <v>22-07-2026</v>
          </cell>
          <cell r="AC243" t="str">
            <v>Sin Aprobar</v>
          </cell>
        </row>
        <row r="244">
          <cell r="A244">
            <v>209</v>
          </cell>
          <cell r="B244" t="str">
            <v>12-12-2025</v>
          </cell>
          <cell r="C244" t="str">
            <v>16-12-2025</v>
          </cell>
          <cell r="D244" t="str">
            <v>MSC NITYA B</v>
          </cell>
          <cell r="E244" t="str">
            <v>MARITIMO</v>
          </cell>
          <cell r="F244" t="str">
            <v>HUASHENG</v>
          </cell>
          <cell r="G244" t="str">
            <v>CHUN WAN YI (GUANGZHOU) SUPPLY CHAIN MANAGEMENT CO., LTD</v>
          </cell>
          <cell r="H244" t="str">
            <v>CEREZAS</v>
          </cell>
          <cell r="I244" t="str">
            <v>LAPINS /</v>
          </cell>
          <cell r="J244" t="str">
            <v>ALMAHUE EXPORT</v>
          </cell>
          <cell r="K244" t="str">
            <v>CONS-LIBRE</v>
          </cell>
          <cell r="L244" t="str">
            <v>FOB</v>
          </cell>
          <cell r="M244" t="str">
            <v>3520</v>
          </cell>
          <cell r="N244" t="str">
            <v>89376.85</v>
          </cell>
          <cell r="O244" t="str">
            <v>10095.23</v>
          </cell>
          <cell r="P244" t="str">
            <v>0.00</v>
          </cell>
          <cell r="Q244" t="str">
            <v>61125.05</v>
          </cell>
          <cell r="R244">
            <v>1751</v>
          </cell>
          <cell r="S244" t="str">
            <v>49280.00</v>
          </cell>
          <cell r="T244" t="str">
            <v>44,944,838</v>
          </cell>
          <cell r="V244" t="str">
            <v>0.00</v>
          </cell>
          <cell r="W244">
            <v>0</v>
          </cell>
          <cell r="X244" t="str">
            <v>13161411-K</v>
          </cell>
          <cell r="Y244" t="str">
            <v>24-12-2025</v>
          </cell>
          <cell r="Z244" t="str">
            <v>SI</v>
          </cell>
          <cell r="AA244" t="str">
            <v>NO</v>
          </cell>
          <cell r="AB244" t="str">
            <v>22-07-2026</v>
          </cell>
          <cell r="AC244" t="str">
            <v>Sin Aprobar</v>
          </cell>
        </row>
        <row r="245">
          <cell r="A245">
            <v>208</v>
          </cell>
          <cell r="B245" t="str">
            <v>11-12-2025</v>
          </cell>
          <cell r="C245" t="str">
            <v>13-12-2025</v>
          </cell>
          <cell r="D245" t="str">
            <v>BUENAVENTURA EXPRESS</v>
          </cell>
          <cell r="E245" t="str">
            <v>MARITIMO</v>
          </cell>
          <cell r="F245" t="str">
            <v>FRUITJOY</v>
          </cell>
          <cell r="G245" t="str">
            <v>SHANGHAI HUI ZHAN INTERNATIONAL TRADE CO., LTD</v>
          </cell>
          <cell r="H245" t="str">
            <v>CEREZAS</v>
          </cell>
          <cell r="I245" t="str">
            <v>LAPINS / SKEENA /</v>
          </cell>
          <cell r="J245" t="str">
            <v>ALMAHUE EXPORT</v>
          </cell>
          <cell r="K245" t="str">
            <v>CONS-LIBRE</v>
          </cell>
          <cell r="L245" t="str">
            <v>FOB</v>
          </cell>
          <cell r="M245" t="str">
            <v>3520</v>
          </cell>
          <cell r="N245" t="str">
            <v>111433.73</v>
          </cell>
          <cell r="O245" t="str">
            <v>9983.76</v>
          </cell>
          <cell r="P245" t="str">
            <v>0.00</v>
          </cell>
          <cell r="Q245" t="str">
            <v>80871.14</v>
          </cell>
          <cell r="R245">
            <v>1748</v>
          </cell>
          <cell r="S245" t="str">
            <v>56320.00</v>
          </cell>
          <cell r="T245" t="str">
            <v>51,639,808</v>
          </cell>
          <cell r="U245" t="str">
            <v>1394</v>
          </cell>
          <cell r="V245" t="str">
            <v>24551.00</v>
          </cell>
          <cell r="W245">
            <v>22510812</v>
          </cell>
          <cell r="X245" t="str">
            <v>13157299-9</v>
          </cell>
          <cell r="Y245" t="str">
            <v>24-12-2025</v>
          </cell>
          <cell r="Z245" t="str">
            <v>SI</v>
          </cell>
          <cell r="AA245" t="str">
            <v>SI</v>
          </cell>
          <cell r="AB245" t="str">
            <v>22-07-2026</v>
          </cell>
          <cell r="AC245" t="str">
            <v>Sin Aprobar</v>
          </cell>
        </row>
        <row r="246">
          <cell r="A246">
            <v>207</v>
          </cell>
          <cell r="B246" t="str">
            <v>12-12-2025</v>
          </cell>
          <cell r="C246" t="str">
            <v>16-12-2025</v>
          </cell>
          <cell r="D246" t="str">
            <v>MSC NITYA B</v>
          </cell>
          <cell r="E246" t="str">
            <v>MARITIMO</v>
          </cell>
          <cell r="F246" t="str">
            <v>DORLUNG</v>
          </cell>
          <cell r="G246" t="str">
            <v>SHENZHEN WEI CHENG LI DE TRADE CO.,LTD</v>
          </cell>
          <cell r="H246" t="str">
            <v>CEREZAS</v>
          </cell>
          <cell r="I246" t="str">
            <v>LAPINS / REGINA /</v>
          </cell>
          <cell r="J246" t="str">
            <v>ALMAHUE EXPORT</v>
          </cell>
          <cell r="K246" t="str">
            <v>CONS-LIBRE</v>
          </cell>
          <cell r="L246" t="str">
            <v>FOB</v>
          </cell>
          <cell r="M246" t="str">
            <v>3520</v>
          </cell>
          <cell r="N246" t="str">
            <v>93236.36</v>
          </cell>
          <cell r="O246" t="str">
            <v>10278.00</v>
          </cell>
          <cell r="P246" t="str">
            <v>0.00</v>
          </cell>
          <cell r="Q246" t="str">
            <v>62461.32</v>
          </cell>
          <cell r="R246">
            <v>1768</v>
          </cell>
          <cell r="S246" t="str">
            <v>49280.00</v>
          </cell>
          <cell r="T246" t="str">
            <v>44,944,838</v>
          </cell>
          <cell r="V246" t="str">
            <v>0.00</v>
          </cell>
          <cell r="W246">
            <v>0</v>
          </cell>
          <cell r="X246" t="str">
            <v>13161475-6</v>
          </cell>
          <cell r="Y246" t="str">
            <v>24-12-2025</v>
          </cell>
          <cell r="Z246" t="str">
            <v>SI</v>
          </cell>
          <cell r="AA246" t="str">
            <v>NO</v>
          </cell>
          <cell r="AB246" t="str">
            <v>22-07-2026</v>
          </cell>
          <cell r="AC246" t="str">
            <v>Sin Aprobar</v>
          </cell>
        </row>
        <row r="247">
          <cell r="A247">
            <v>206</v>
          </cell>
          <cell r="B247" t="str">
            <v>11-12-2025</v>
          </cell>
          <cell r="C247" t="str">
            <v>13-12-2025</v>
          </cell>
          <cell r="D247" t="str">
            <v>BUENAVENTURA EXPRESS</v>
          </cell>
          <cell r="E247" t="str">
            <v>MARITIMO</v>
          </cell>
          <cell r="F247" t="str">
            <v>KINGO</v>
          </cell>
          <cell r="G247" t="str">
            <v>SHENZHEN FANYA XIANSHIHUI CO.,LTD</v>
          </cell>
          <cell r="H247" t="str">
            <v>CEREZAS</v>
          </cell>
          <cell r="I247" t="str">
            <v>LAPINS / SKEENA /</v>
          </cell>
          <cell r="J247" t="str">
            <v>ALMAHUE EXPORT</v>
          </cell>
          <cell r="K247" t="str">
            <v>CONS-LIBRE</v>
          </cell>
          <cell r="L247" t="str">
            <v>FOB</v>
          </cell>
          <cell r="M247" t="str">
            <v>3520</v>
          </cell>
          <cell r="N247" t="str">
            <v>927900.01</v>
          </cell>
          <cell r="O247" t="str">
            <v>70849.87</v>
          </cell>
          <cell r="P247" t="str">
            <v>0.00</v>
          </cell>
          <cell r="Q247" t="str">
            <v>683881.02</v>
          </cell>
          <cell r="R247">
            <v>1734</v>
          </cell>
          <cell r="S247" t="str">
            <v>56320.00</v>
          </cell>
          <cell r="T247" t="str">
            <v>51,639,808</v>
          </cell>
          <cell r="U247" t="str">
            <v>1395</v>
          </cell>
          <cell r="V247" t="str">
            <v>44303.00</v>
          </cell>
          <cell r="W247">
            <v>40621421</v>
          </cell>
          <cell r="X247" t="str">
            <v>13155523-7</v>
          </cell>
          <cell r="Y247" t="str">
            <v>24-12-2025</v>
          </cell>
          <cell r="Z247" t="str">
            <v>SI</v>
          </cell>
          <cell r="AA247" t="str">
            <v>SI</v>
          </cell>
          <cell r="AB247" t="str">
            <v>22-07-2026</v>
          </cell>
          <cell r="AC247" t="str">
            <v>Sin Aprobar</v>
          </cell>
        </row>
        <row r="248">
          <cell r="A248">
            <v>205</v>
          </cell>
          <cell r="B248" t="str">
            <v>11-12-2025</v>
          </cell>
          <cell r="C248" t="str">
            <v>13-12-2025</v>
          </cell>
          <cell r="D248" t="str">
            <v>BUENAVENTURA EXPRESS</v>
          </cell>
          <cell r="E248" t="str">
            <v>MARITIMO</v>
          </cell>
          <cell r="F248" t="str">
            <v>YOGO</v>
          </cell>
          <cell r="G248" t="str">
            <v>CHENGDU RAILPORT EURASIA IMPORT AND EXPORT TRADE CO.,LTD.</v>
          </cell>
          <cell r="H248" t="str">
            <v>CEREZAS</v>
          </cell>
          <cell r="I248" t="str">
            <v>LAPINS /</v>
          </cell>
          <cell r="J248" t="str">
            <v>ALMAHUE EXPORT</v>
          </cell>
          <cell r="K248" t="str">
            <v>CONS-LIBRE</v>
          </cell>
          <cell r="L248" t="str">
            <v>FOB</v>
          </cell>
          <cell r="M248" t="str">
            <v>3520</v>
          </cell>
          <cell r="N248" t="str">
            <v>107155.14</v>
          </cell>
          <cell r="O248" t="str">
            <v>10070.77</v>
          </cell>
          <cell r="P248" t="str">
            <v>0.00</v>
          </cell>
          <cell r="Q248" t="str">
            <v>75496.74</v>
          </cell>
          <cell r="R248">
            <v>1732</v>
          </cell>
          <cell r="S248" t="str">
            <v>56320.00</v>
          </cell>
          <cell r="T248" t="str">
            <v>51,639,808</v>
          </cell>
          <cell r="U248" t="str">
            <v>1392</v>
          </cell>
          <cell r="V248" t="str">
            <v>19177.00</v>
          </cell>
          <cell r="W248">
            <v>17583391</v>
          </cell>
          <cell r="X248" t="str">
            <v>13153638-0</v>
          </cell>
          <cell r="Y248" t="str">
            <v>24-12-2025</v>
          </cell>
          <cell r="Z248" t="str">
            <v>SI</v>
          </cell>
          <cell r="AA248" t="str">
            <v>SI</v>
          </cell>
          <cell r="AB248" t="str">
            <v>22-07-2026</v>
          </cell>
          <cell r="AC248" t="str">
            <v>Sin Aprobar</v>
          </cell>
        </row>
        <row r="249">
          <cell r="A249">
            <v>204</v>
          </cell>
          <cell r="B249" t="str">
            <v>11-12-2025</v>
          </cell>
          <cell r="C249" t="str">
            <v>13-12-2025</v>
          </cell>
          <cell r="D249" t="str">
            <v>BUENAVENTURA EXPRESS</v>
          </cell>
          <cell r="E249" t="str">
            <v>MARITIMO</v>
          </cell>
          <cell r="F249" t="str">
            <v>HING LEE</v>
          </cell>
          <cell r="G249" t="str">
            <v>SHENZHEN JINSHUN'AN INTERNATIONAL FREIGHT FORWARDING CO.,LTD</v>
          </cell>
          <cell r="H249" t="str">
            <v>CEREZAS</v>
          </cell>
          <cell r="I249" t="str">
            <v>LAPINS / SKEENA /</v>
          </cell>
          <cell r="J249" t="str">
            <v>ALMAHUE EXPORT</v>
          </cell>
          <cell r="K249" t="str">
            <v>CONS-LIBRE</v>
          </cell>
          <cell r="L249" t="str">
            <v>FOB</v>
          </cell>
          <cell r="M249" t="str">
            <v>3536</v>
          </cell>
          <cell r="N249" t="str">
            <v>94110.24</v>
          </cell>
          <cell r="O249" t="str">
            <v>10409.00</v>
          </cell>
          <cell r="P249" t="str">
            <v>0.00</v>
          </cell>
          <cell r="Q249" t="str">
            <v>60945.63</v>
          </cell>
          <cell r="R249">
            <v>1746</v>
          </cell>
          <cell r="S249" t="str">
            <v>56576.00</v>
          </cell>
          <cell r="T249" t="str">
            <v>51,874,534</v>
          </cell>
          <cell r="U249" t="str">
            <v>1391</v>
          </cell>
          <cell r="V249" t="str">
            <v>4370.00</v>
          </cell>
          <cell r="W249">
            <v>4006853</v>
          </cell>
          <cell r="X249" t="str">
            <v>13157272-7</v>
          </cell>
          <cell r="Y249" t="str">
            <v>24-12-2025</v>
          </cell>
          <cell r="Z249" t="str">
            <v>SI</v>
          </cell>
          <cell r="AA249" t="str">
            <v>SI</v>
          </cell>
          <cell r="AB249" t="str">
            <v>22-07-2026</v>
          </cell>
          <cell r="AC249" t="str">
            <v>Sin Aprobar</v>
          </cell>
        </row>
        <row r="250">
          <cell r="A250">
            <v>203</v>
          </cell>
          <cell r="B250" t="str">
            <v>10-12-2025</v>
          </cell>
          <cell r="C250" t="str">
            <v>13-12-2025</v>
          </cell>
          <cell r="D250" t="str">
            <v>BUENAVENTURA EXPRESS</v>
          </cell>
          <cell r="E250" t="str">
            <v>MARITIMO</v>
          </cell>
          <cell r="F250" t="str">
            <v>DORLUNG</v>
          </cell>
          <cell r="G250" t="str">
            <v>SHENZHEN WEI CHENG LI DE TRADE CO.,LTD</v>
          </cell>
          <cell r="H250" t="str">
            <v>CEREZAS</v>
          </cell>
          <cell r="I250" t="str">
            <v>LAPINS /</v>
          </cell>
          <cell r="J250" t="str">
            <v>ALMAHUE EXPORT</v>
          </cell>
          <cell r="K250" t="str">
            <v>CONS-LIBRE</v>
          </cell>
          <cell r="L250" t="str">
            <v>FOB</v>
          </cell>
          <cell r="M250" t="str">
            <v>3544</v>
          </cell>
          <cell r="N250" t="str">
            <v>108248.79</v>
          </cell>
          <cell r="O250" t="str">
            <v>10110.00</v>
          </cell>
          <cell r="P250" t="str">
            <v>0.00</v>
          </cell>
          <cell r="Q250" t="str">
            <v>75935.24</v>
          </cell>
          <cell r="R250">
            <v>1745</v>
          </cell>
          <cell r="S250" t="str">
            <v>56704.00</v>
          </cell>
          <cell r="T250" t="str">
            <v>51,991,898</v>
          </cell>
          <cell r="U250" t="str">
            <v>1390</v>
          </cell>
          <cell r="V250" t="str">
            <v>19231.00</v>
          </cell>
          <cell r="W250">
            <v>17632904</v>
          </cell>
          <cell r="X250" t="str">
            <v>13153743-3</v>
          </cell>
          <cell r="Y250" t="str">
            <v>24-12-2025</v>
          </cell>
          <cell r="Z250" t="str">
            <v>SI</v>
          </cell>
          <cell r="AA250" t="str">
            <v>SI</v>
          </cell>
          <cell r="AB250" t="str">
            <v>22-07-2026</v>
          </cell>
          <cell r="AC250" t="str">
            <v>Sin Aprobar</v>
          </cell>
        </row>
        <row r="251">
          <cell r="A251">
            <v>202</v>
          </cell>
          <cell r="B251" t="str">
            <v>11-12-2025</v>
          </cell>
          <cell r="C251" t="str">
            <v>13-12-2025</v>
          </cell>
          <cell r="D251" t="str">
            <v>BUENAVENTURA EXPRESS</v>
          </cell>
          <cell r="E251" t="str">
            <v>MARITIMO</v>
          </cell>
          <cell r="F251" t="str">
            <v>DORLUNG</v>
          </cell>
          <cell r="G251" t="str">
            <v>SHENZHEN WEI CHENG LI DE TRADE CO.,LTD</v>
          </cell>
          <cell r="H251" t="str">
            <v>CEREZAS</v>
          </cell>
          <cell r="I251" t="str">
            <v>REGINA /</v>
          </cell>
          <cell r="J251" t="str">
            <v>ALMAHUE EXPORT</v>
          </cell>
          <cell r="K251" t="str">
            <v>CONS-LIBRE</v>
          </cell>
          <cell r="L251" t="str">
            <v>FOB</v>
          </cell>
          <cell r="M251" t="str">
            <v>3520</v>
          </cell>
          <cell r="N251" t="str">
            <v>155973.60</v>
          </cell>
          <cell r="O251" t="str">
            <v>10110.00</v>
          </cell>
          <cell r="P251" t="str">
            <v>0.00</v>
          </cell>
          <cell r="Q251" t="str">
            <v>119318.24</v>
          </cell>
          <cell r="R251">
            <v>1744</v>
          </cell>
          <cell r="S251" t="str">
            <v>56320.00</v>
          </cell>
          <cell r="T251" t="str">
            <v>51,639,808</v>
          </cell>
          <cell r="V251" t="str">
            <v>0.00</v>
          </cell>
          <cell r="W251">
            <v>0</v>
          </cell>
          <cell r="X251" t="str">
            <v>13155791-4</v>
          </cell>
          <cell r="Y251" t="str">
            <v>24-12-2025</v>
          </cell>
          <cell r="Z251" t="str">
            <v>SI</v>
          </cell>
          <cell r="AA251" t="str">
            <v>NO</v>
          </cell>
          <cell r="AB251" t="str">
            <v>22-07-2026</v>
          </cell>
          <cell r="AC251" t="str">
            <v>Sin Aprobar</v>
          </cell>
        </row>
        <row r="252">
          <cell r="A252">
            <v>201</v>
          </cell>
          <cell r="B252" t="str">
            <v>11-12-2025</v>
          </cell>
          <cell r="C252" t="str">
            <v>13-12-2025</v>
          </cell>
          <cell r="D252" t="str">
            <v>BUENAVENTURA EXPRESS</v>
          </cell>
          <cell r="E252" t="str">
            <v>MARITIMO</v>
          </cell>
          <cell r="F252" t="str">
            <v>HING LEE</v>
          </cell>
          <cell r="G252" t="str">
            <v>SHENZHEN JINSHUN'AN INTERNATIONAL FREIGHT FORWARDING CO.,LTD</v>
          </cell>
          <cell r="H252" t="str">
            <v>CEREZAS</v>
          </cell>
          <cell r="I252" t="str">
            <v>LAPINS /</v>
          </cell>
          <cell r="J252" t="str">
            <v>ALMAHUE EXPORT</v>
          </cell>
          <cell r="K252" t="str">
            <v>CONS-LIBRE</v>
          </cell>
          <cell r="L252" t="str">
            <v>FOB</v>
          </cell>
          <cell r="M252" t="str">
            <v>3520</v>
          </cell>
          <cell r="N252" t="str">
            <v>89925.39</v>
          </cell>
          <cell r="O252" t="str">
            <v>10409.00</v>
          </cell>
          <cell r="P252" t="str">
            <v>0.00</v>
          </cell>
          <cell r="Q252" t="str">
            <v>56951.97</v>
          </cell>
          <cell r="R252">
            <v>1743</v>
          </cell>
          <cell r="S252" t="str">
            <v>56320.00</v>
          </cell>
          <cell r="T252" t="str">
            <v>51,639,808</v>
          </cell>
          <cell r="U252" t="str">
            <v>1389</v>
          </cell>
          <cell r="V252" t="str">
            <v>632.00</v>
          </cell>
          <cell r="W252">
            <v>579481</v>
          </cell>
          <cell r="X252" t="str">
            <v>13155460-5</v>
          </cell>
          <cell r="Y252" t="str">
            <v>24-12-2025</v>
          </cell>
          <cell r="Z252" t="str">
            <v>SI</v>
          </cell>
          <cell r="AA252" t="str">
            <v>SI</v>
          </cell>
          <cell r="AB252" t="str">
            <v>22-07-2026</v>
          </cell>
          <cell r="AC252" t="str">
            <v>Sin Aprobar</v>
          </cell>
        </row>
        <row r="253">
          <cell r="A253">
            <v>200</v>
          </cell>
          <cell r="B253" t="str">
            <v>11-12-2025</v>
          </cell>
          <cell r="C253" t="str">
            <v>13-12-2025</v>
          </cell>
          <cell r="D253" t="str">
            <v>BUENAVENTURA EXPRESS</v>
          </cell>
          <cell r="E253" t="str">
            <v>MARITIMO</v>
          </cell>
          <cell r="F253" t="str">
            <v>YUERUN TRADING</v>
          </cell>
          <cell r="G253" t="str">
            <v>SHENZHEN FANYA XIANSHIHUI CO.,LTD</v>
          </cell>
          <cell r="H253" t="str">
            <v>CEREZAS</v>
          </cell>
          <cell r="I253" t="str">
            <v>LAPINS / REGINA /</v>
          </cell>
          <cell r="J253" t="str">
            <v>ALMAHUE EXPORT</v>
          </cell>
          <cell r="K253" t="str">
            <v>CONS-LIBRE</v>
          </cell>
          <cell r="L253" t="str">
            <v>FOB</v>
          </cell>
          <cell r="M253" t="str">
            <v>3536</v>
          </cell>
          <cell r="N253" t="str">
            <v>746005.40</v>
          </cell>
          <cell r="O253" t="str">
            <v>72641.20</v>
          </cell>
          <cell r="P253" t="str">
            <v>0.00</v>
          </cell>
          <cell r="Q253" t="str">
            <v>534897.86</v>
          </cell>
          <cell r="R253">
            <v>1742</v>
          </cell>
          <cell r="S253" t="str">
            <v>56576.00</v>
          </cell>
          <cell r="T253" t="str">
            <v>51,874,534</v>
          </cell>
          <cell r="U253" t="str">
            <v>1388</v>
          </cell>
          <cell r="V253" t="str">
            <v>22126.00</v>
          </cell>
          <cell r="W253">
            <v>20287329</v>
          </cell>
          <cell r="X253" t="str">
            <v>13155832-5</v>
          </cell>
          <cell r="Y253" t="str">
            <v>26-12-2025</v>
          </cell>
          <cell r="Z253" t="str">
            <v>SI</v>
          </cell>
          <cell r="AA253" t="str">
            <v>SI</v>
          </cell>
          <cell r="AB253" t="str">
            <v>24-07-2026</v>
          </cell>
          <cell r="AC253" t="str">
            <v>Sin Aprobar</v>
          </cell>
        </row>
        <row r="254">
          <cell r="A254">
            <v>199</v>
          </cell>
          <cell r="B254" t="str">
            <v>11-12-2025</v>
          </cell>
          <cell r="C254" t="str">
            <v>13-12-2025</v>
          </cell>
          <cell r="D254" t="str">
            <v>BUENAVENTURA EXPRESS</v>
          </cell>
          <cell r="E254" t="str">
            <v>MARITIMO</v>
          </cell>
          <cell r="F254" t="str">
            <v>JINSHENG</v>
          </cell>
          <cell r="G254" t="str">
            <v>CHUN WAN YI (GUANGZHOU) SUPPLY CHAIN MANAGEMENT CO., LTD</v>
          </cell>
          <cell r="H254" t="str">
            <v>CEREZAS</v>
          </cell>
          <cell r="I254" t="str">
            <v>LAPINS /</v>
          </cell>
          <cell r="J254" t="str">
            <v>ALMAHUE EXPORT</v>
          </cell>
          <cell r="K254" t="str">
            <v>CONS-LIBRE</v>
          </cell>
          <cell r="L254" t="str">
            <v>FOB</v>
          </cell>
          <cell r="M254" t="str">
            <v>3520</v>
          </cell>
          <cell r="N254" t="str">
            <v>111809.63</v>
          </cell>
          <cell r="O254" t="str">
            <v>10630.99</v>
          </cell>
          <cell r="P254" t="str">
            <v>0.00</v>
          </cell>
          <cell r="Q254" t="str">
            <v>78132.04</v>
          </cell>
          <cell r="R254">
            <v>1731</v>
          </cell>
          <cell r="S254" t="str">
            <v>56320.00</v>
          </cell>
          <cell r="T254" t="str">
            <v>51,639,808</v>
          </cell>
          <cell r="U254" t="str">
            <v>1387</v>
          </cell>
          <cell r="V254" t="str">
            <v>21812.00</v>
          </cell>
          <cell r="W254">
            <v>19999423</v>
          </cell>
          <cell r="X254" t="str">
            <v>13153779-4</v>
          </cell>
          <cell r="Y254" t="str">
            <v>24-12-2025</v>
          </cell>
          <cell r="Z254" t="str">
            <v>SI</v>
          </cell>
          <cell r="AA254" t="str">
            <v>SI</v>
          </cell>
          <cell r="AB254" t="str">
            <v>22-07-2026</v>
          </cell>
          <cell r="AC254" t="str">
            <v>Sin Aprobar</v>
          </cell>
        </row>
        <row r="255">
          <cell r="A255">
            <v>198</v>
          </cell>
          <cell r="B255" t="str">
            <v>10-12-2025</v>
          </cell>
          <cell r="C255" t="str">
            <v>13-12-2025</v>
          </cell>
          <cell r="D255" t="str">
            <v>BUENAVENTURA EXPRESS</v>
          </cell>
          <cell r="E255" t="str">
            <v>MARITIMO</v>
          </cell>
          <cell r="F255" t="str">
            <v>XINGWAN</v>
          </cell>
          <cell r="G255" t="str">
            <v>SHENZHEN OHENG IMPORT &amp; EXPORT CO.,LTD.</v>
          </cell>
          <cell r="H255" t="str">
            <v>CEREZAS</v>
          </cell>
          <cell r="I255" t="str">
            <v>LAPINS /</v>
          </cell>
          <cell r="J255" t="str">
            <v>ALMAHUE EXPORT</v>
          </cell>
          <cell r="K255" t="str">
            <v>CONS-LIBRE</v>
          </cell>
          <cell r="L255" t="str">
            <v>FOB</v>
          </cell>
          <cell r="M255" t="str">
            <v>3520</v>
          </cell>
          <cell r="N255" t="str">
            <v>713090.00</v>
          </cell>
          <cell r="O255" t="str">
            <v>72105.98</v>
          </cell>
          <cell r="P255" t="str">
            <v>0.00</v>
          </cell>
          <cell r="Q255" t="str">
            <v>495699.54</v>
          </cell>
          <cell r="R255">
            <v>1730</v>
          </cell>
          <cell r="S255" t="str">
            <v>56320.00</v>
          </cell>
          <cell r="T255" t="str">
            <v>51,639,808</v>
          </cell>
          <cell r="U255" t="str">
            <v>1386</v>
          </cell>
          <cell r="V255" t="str">
            <v>16615.00</v>
          </cell>
          <cell r="W255">
            <v>15234294</v>
          </cell>
          <cell r="X255" t="str">
            <v>13153755-7</v>
          </cell>
          <cell r="Y255" t="str">
            <v>24-12-2025</v>
          </cell>
          <cell r="Z255" t="str">
            <v>SI</v>
          </cell>
          <cell r="AA255" t="str">
            <v>SI</v>
          </cell>
          <cell r="AB255" t="str">
            <v>22-07-2026</v>
          </cell>
          <cell r="AC255" t="str">
            <v>Sin Aprobar</v>
          </cell>
        </row>
        <row r="256">
          <cell r="A256">
            <v>197</v>
          </cell>
          <cell r="B256" t="str">
            <v>11-12-2025</v>
          </cell>
          <cell r="C256" t="str">
            <v>13-12-2025</v>
          </cell>
          <cell r="D256" t="str">
            <v>BUENAVENTURA EXPRESS</v>
          </cell>
          <cell r="E256" t="str">
            <v>MARITIMO</v>
          </cell>
          <cell r="F256" t="str">
            <v>CHEN SUN</v>
          </cell>
          <cell r="G256" t="str">
            <v>LUSHANG INTERNATIONAL TRADE CO., LTD.</v>
          </cell>
          <cell r="H256" t="str">
            <v>CEREZAS</v>
          </cell>
          <cell r="I256" t="str">
            <v>LAPINS /</v>
          </cell>
          <cell r="J256" t="str">
            <v>ALMAHUE EXPORT</v>
          </cell>
          <cell r="K256" t="str">
            <v>CONS-LIBRE</v>
          </cell>
          <cell r="L256" t="str">
            <v>FOB</v>
          </cell>
          <cell r="M256" t="str">
            <v>3520</v>
          </cell>
          <cell r="N256" t="str">
            <v>725790.42</v>
          </cell>
          <cell r="O256" t="str">
            <v>70595.00</v>
          </cell>
          <cell r="P256" t="str">
            <v>0.00</v>
          </cell>
          <cell r="Q256" t="str">
            <v>471799.09</v>
          </cell>
          <cell r="R256">
            <v>1741</v>
          </cell>
          <cell r="S256" t="str">
            <v>56320.00</v>
          </cell>
          <cell r="T256" t="str">
            <v>51,639,808</v>
          </cell>
          <cell r="U256" t="str">
            <v>1385</v>
          </cell>
          <cell r="V256" t="str">
            <v>13098.00</v>
          </cell>
          <cell r="W256">
            <v>12009556</v>
          </cell>
          <cell r="X256" t="str">
            <v>13155910-0</v>
          </cell>
          <cell r="Y256" t="str">
            <v>24-12-2025</v>
          </cell>
          <cell r="Z256" t="str">
            <v>SI</v>
          </cell>
          <cell r="AA256" t="str">
            <v>SI</v>
          </cell>
          <cell r="AB256" t="str">
            <v>22-07-2026</v>
          </cell>
          <cell r="AC256" t="str">
            <v>Sin Aprobar</v>
          </cell>
        </row>
        <row r="257">
          <cell r="A257">
            <v>196</v>
          </cell>
          <cell r="B257" t="str">
            <v>11-12-2025</v>
          </cell>
          <cell r="C257" t="str">
            <v>13-12-2025</v>
          </cell>
          <cell r="D257" t="str">
            <v>BUENAVENTURA EXPRESS</v>
          </cell>
          <cell r="E257" t="str">
            <v>MARITIMO</v>
          </cell>
          <cell r="F257" t="str">
            <v>SUNHOLA</v>
          </cell>
          <cell r="G257" t="str">
            <v>HUBEI SHOUHENG SUPPLY CHAIN MANAGEMENT CO. , LTD</v>
          </cell>
          <cell r="H257" t="str">
            <v>CEREZAS</v>
          </cell>
          <cell r="I257" t="str">
            <v>LAPINS /</v>
          </cell>
          <cell r="J257" t="str">
            <v>ALMAHUE EXPORT</v>
          </cell>
          <cell r="K257" t="str">
            <v>CONS-LIBRE</v>
          </cell>
          <cell r="L257" t="str">
            <v>FOB</v>
          </cell>
          <cell r="M257" t="str">
            <v>3520</v>
          </cell>
          <cell r="N257" t="str">
            <v>610950.00</v>
          </cell>
          <cell r="O257" t="str">
            <v>68544.86</v>
          </cell>
          <cell r="P257" t="str">
            <v>0.00</v>
          </cell>
          <cell r="Q257" t="str">
            <v>402807.79</v>
          </cell>
          <cell r="R257">
            <v>1740</v>
          </cell>
          <cell r="S257" t="str">
            <v>56320.00</v>
          </cell>
          <cell r="T257" t="str">
            <v>51,639,808</v>
          </cell>
          <cell r="U257" t="str">
            <v>1384</v>
          </cell>
          <cell r="V257" t="str">
            <v>2947.00</v>
          </cell>
          <cell r="W257">
            <v>2702104</v>
          </cell>
          <cell r="X257" t="str">
            <v>13156838-K</v>
          </cell>
          <cell r="Y257" t="str">
            <v>24-12-2025</v>
          </cell>
          <cell r="Z257" t="str">
            <v>SI</v>
          </cell>
          <cell r="AA257" t="str">
            <v>SI</v>
          </cell>
          <cell r="AB257" t="str">
            <v>22-07-2026</v>
          </cell>
          <cell r="AC257" t="str">
            <v>Sin Aprobar</v>
          </cell>
        </row>
        <row r="258">
          <cell r="A258">
            <v>195</v>
          </cell>
          <cell r="B258" t="str">
            <v>10-12-2025</v>
          </cell>
          <cell r="C258" t="str">
            <v>13-12-2025</v>
          </cell>
          <cell r="D258" t="str">
            <v>BUENAVENTURA EXPRESS</v>
          </cell>
          <cell r="E258" t="str">
            <v>MARITIMO</v>
          </cell>
          <cell r="F258" t="str">
            <v>HUASHENG</v>
          </cell>
          <cell r="G258" t="str">
            <v>CHUN WAN YI (GUANGZHOU) SUPPLY CHAIN MANAGEMENT CO., LTD</v>
          </cell>
          <cell r="H258" t="str">
            <v>CEREZAS</v>
          </cell>
          <cell r="I258" t="str">
            <v>LAPINS /</v>
          </cell>
          <cell r="J258" t="str">
            <v>ALMAHUE EXPORT</v>
          </cell>
          <cell r="K258" t="str">
            <v>CONS-LIBRE</v>
          </cell>
          <cell r="L258" t="str">
            <v>FOB</v>
          </cell>
          <cell r="M258" t="str">
            <v>3520</v>
          </cell>
          <cell r="N258" t="str">
            <v>132647.77</v>
          </cell>
          <cell r="O258" t="str">
            <v>10011.22</v>
          </cell>
          <cell r="P258" t="str">
            <v>0.00</v>
          </cell>
          <cell r="Q258" t="str">
            <v>97339.07</v>
          </cell>
          <cell r="R258">
            <v>1729</v>
          </cell>
          <cell r="S258" t="str">
            <v>56320.00</v>
          </cell>
          <cell r="T258" t="str">
            <v>51,639,808</v>
          </cell>
          <cell r="U258" t="str">
            <v>1383</v>
          </cell>
          <cell r="V258" t="str">
            <v>41019.00</v>
          </cell>
          <cell r="W258">
            <v>37610321</v>
          </cell>
          <cell r="X258" t="str">
            <v>13152957-0</v>
          </cell>
          <cell r="Y258" t="str">
            <v>24-12-2025</v>
          </cell>
          <cell r="Z258" t="str">
            <v>SI</v>
          </cell>
          <cell r="AA258" t="str">
            <v>SI</v>
          </cell>
          <cell r="AB258" t="str">
            <v>22-07-2026</v>
          </cell>
          <cell r="AC258" t="str">
            <v>Sin Aprobar</v>
          </cell>
        </row>
        <row r="259">
          <cell r="A259">
            <v>194</v>
          </cell>
          <cell r="B259" t="str">
            <v>11-12-2025</v>
          </cell>
          <cell r="C259" t="str">
            <v>13-12-2025</v>
          </cell>
          <cell r="D259" t="str">
            <v>BUENAVENTURA EXPRESS</v>
          </cell>
          <cell r="E259" t="str">
            <v>MARITIMO</v>
          </cell>
          <cell r="F259" t="str">
            <v>PAGODA</v>
          </cell>
          <cell r="G259" t="str">
            <v>SHANGHAI HUI ZHAN INTERNATIONAL TRADE CO., LTD</v>
          </cell>
          <cell r="H259" t="str">
            <v>CEREZAS</v>
          </cell>
          <cell r="I259" t="str">
            <v>LAPINS /</v>
          </cell>
          <cell r="J259" t="str">
            <v>ALMAHUE EXPORT</v>
          </cell>
          <cell r="K259" t="str">
            <v>CONS-LIBRE</v>
          </cell>
          <cell r="L259" t="str">
            <v>FOB</v>
          </cell>
          <cell r="M259" t="str">
            <v>3520</v>
          </cell>
          <cell r="N259" t="str">
            <v>118938.16</v>
          </cell>
          <cell r="O259" t="str">
            <v>10158.55</v>
          </cell>
          <cell r="P259" t="str">
            <v>0.00</v>
          </cell>
          <cell r="Q259" t="str">
            <v>88732.27</v>
          </cell>
          <cell r="R259">
            <v>1728</v>
          </cell>
          <cell r="S259" t="str">
            <v>56320.00</v>
          </cell>
          <cell r="T259" t="str">
            <v>51,639,808</v>
          </cell>
          <cell r="U259" t="str">
            <v>1382</v>
          </cell>
          <cell r="V259" t="str">
            <v>32412.00</v>
          </cell>
          <cell r="W259">
            <v>29718563</v>
          </cell>
          <cell r="X259" t="str">
            <v>13155414-1</v>
          </cell>
          <cell r="Y259" t="str">
            <v>24-12-2025</v>
          </cell>
          <cell r="Z259" t="str">
            <v>SI</v>
          </cell>
          <cell r="AA259" t="str">
            <v>SI</v>
          </cell>
          <cell r="AB259" t="str">
            <v>22-07-2026</v>
          </cell>
          <cell r="AC259" t="str">
            <v>Sin Aprobar</v>
          </cell>
        </row>
        <row r="260">
          <cell r="A260">
            <v>193</v>
          </cell>
          <cell r="B260" t="str">
            <v>10-12-2025</v>
          </cell>
          <cell r="C260" t="str">
            <v>13-12-2025</v>
          </cell>
          <cell r="D260" t="str">
            <v>BUENAVENTURA EXPRESS</v>
          </cell>
          <cell r="E260" t="str">
            <v>MARITIMO</v>
          </cell>
          <cell r="F260" t="str">
            <v>KINGO</v>
          </cell>
          <cell r="G260" t="str">
            <v>SHENZHEN FANYA XIANSHIHUI CO.,LTD</v>
          </cell>
          <cell r="H260" t="str">
            <v>CEREZAS</v>
          </cell>
          <cell r="I260" t="str">
            <v>LAPINS /</v>
          </cell>
          <cell r="J260" t="str">
            <v>ALMAHUE EXPORT</v>
          </cell>
          <cell r="K260" t="str">
            <v>CONS-LIBRE</v>
          </cell>
          <cell r="L260" t="str">
            <v>FOB</v>
          </cell>
          <cell r="M260" t="str">
            <v>3544</v>
          </cell>
          <cell r="N260" t="str">
            <v>835120.00</v>
          </cell>
          <cell r="O260" t="str">
            <v>70849.87</v>
          </cell>
          <cell r="P260" t="str">
            <v>0.00</v>
          </cell>
          <cell r="Q260" t="str">
            <v>610544.92</v>
          </cell>
          <cell r="R260">
            <v>1727</v>
          </cell>
          <cell r="S260" t="str">
            <v>56704.00</v>
          </cell>
          <cell r="T260" t="str">
            <v>51,991,898</v>
          </cell>
          <cell r="U260" t="str">
            <v>1381</v>
          </cell>
          <cell r="V260" t="str">
            <v>33128.00</v>
          </cell>
          <cell r="W260">
            <v>30375063</v>
          </cell>
          <cell r="X260" t="str">
            <v>13153649-6</v>
          </cell>
          <cell r="Y260" t="str">
            <v>24-12-2025</v>
          </cell>
          <cell r="Z260" t="str">
            <v>SI</v>
          </cell>
          <cell r="AA260" t="str">
            <v>SI</v>
          </cell>
          <cell r="AB260" t="str">
            <v>22-07-2026</v>
          </cell>
          <cell r="AC260" t="str">
            <v>Sin Aprobar</v>
          </cell>
        </row>
        <row r="261">
          <cell r="A261">
            <v>192</v>
          </cell>
          <cell r="B261" t="str">
            <v>10-12-2025</v>
          </cell>
          <cell r="C261" t="str">
            <v>13-12-2025</v>
          </cell>
          <cell r="D261" t="str">
            <v>BUENAVENTURA EXPRESS</v>
          </cell>
          <cell r="E261" t="str">
            <v>MARITIMO</v>
          </cell>
          <cell r="F261" t="str">
            <v>YOGO</v>
          </cell>
          <cell r="G261" t="str">
            <v>CHENGDU RAILPORT EURASIA IMPORT AND EXPORT TRADE CO.,LTD.</v>
          </cell>
          <cell r="H261" t="str">
            <v>CEREZAS</v>
          </cell>
          <cell r="I261" t="str">
            <v>LAPINS /</v>
          </cell>
          <cell r="J261" t="str">
            <v>ALMAHUE EXPORT</v>
          </cell>
          <cell r="K261" t="str">
            <v>CONS-LIBRE</v>
          </cell>
          <cell r="L261" t="str">
            <v>FOB</v>
          </cell>
          <cell r="M261" t="str">
            <v>3544</v>
          </cell>
          <cell r="N261" t="str">
            <v>112713.34</v>
          </cell>
          <cell r="O261" t="str">
            <v>10070.77</v>
          </cell>
          <cell r="P261" t="str">
            <v>0.00</v>
          </cell>
          <cell r="Q261" t="str">
            <v>80009.69</v>
          </cell>
          <cell r="R261">
            <v>1726</v>
          </cell>
          <cell r="S261" t="str">
            <v>56704.00</v>
          </cell>
          <cell r="T261" t="str">
            <v>51,991,898</v>
          </cell>
          <cell r="U261" t="str">
            <v>1380</v>
          </cell>
          <cell r="V261" t="str">
            <v>23306.00</v>
          </cell>
          <cell r="W261">
            <v>21369271</v>
          </cell>
          <cell r="X261" t="str">
            <v>13153761-1</v>
          </cell>
          <cell r="Y261" t="str">
            <v>24-12-2025</v>
          </cell>
          <cell r="Z261" t="str">
            <v>SI</v>
          </cell>
          <cell r="AA261" t="str">
            <v>SI</v>
          </cell>
          <cell r="AB261" t="str">
            <v>22-07-2026</v>
          </cell>
          <cell r="AC261" t="str">
            <v>Sin Aprobar</v>
          </cell>
        </row>
        <row r="262">
          <cell r="A262">
            <v>191</v>
          </cell>
          <cell r="B262" t="str">
            <v>10-12-2025</v>
          </cell>
          <cell r="C262" t="str">
            <v>13-12-2025</v>
          </cell>
          <cell r="D262" t="str">
            <v>BUENAVENTURA EXPRESS</v>
          </cell>
          <cell r="E262" t="str">
            <v>MARITIMO</v>
          </cell>
          <cell r="F262" t="str">
            <v>FRUITJOY</v>
          </cell>
          <cell r="G262" t="str">
            <v>SHANGHAI HUI ZHAN INTERNATIONAL TRADE CO., LTD</v>
          </cell>
          <cell r="H262" t="str">
            <v>CEREZAS</v>
          </cell>
          <cell r="I262" t="str">
            <v>LAPINS /</v>
          </cell>
          <cell r="J262" t="str">
            <v>ALMAHUE EXPORT</v>
          </cell>
          <cell r="K262" t="str">
            <v>CONS-LIBRE</v>
          </cell>
          <cell r="L262" t="str">
            <v>FOB</v>
          </cell>
          <cell r="M262" t="str">
            <v>3520</v>
          </cell>
          <cell r="N262" t="str">
            <v>98656.01</v>
          </cell>
          <cell r="O262" t="str">
            <v>9983.76</v>
          </cell>
          <cell r="P262" t="str">
            <v>0.00</v>
          </cell>
          <cell r="Q262" t="str">
            <v>68229.37</v>
          </cell>
          <cell r="R262">
            <v>1739</v>
          </cell>
          <cell r="S262" t="str">
            <v>56320.00</v>
          </cell>
          <cell r="T262" t="str">
            <v>51,639,808</v>
          </cell>
          <cell r="U262" t="str">
            <v>1379</v>
          </cell>
          <cell r="V262" t="str">
            <v>11909.00</v>
          </cell>
          <cell r="W262">
            <v>10919362</v>
          </cell>
          <cell r="X262" t="str">
            <v>13153720-4</v>
          </cell>
          <cell r="Y262" t="str">
            <v>24-12-2025</v>
          </cell>
          <cell r="Z262" t="str">
            <v>SI</v>
          </cell>
          <cell r="AA262" t="str">
            <v>SI</v>
          </cell>
          <cell r="AB262" t="str">
            <v>22-07-2026</v>
          </cell>
          <cell r="AC262" t="str">
            <v>Sin Aprobar</v>
          </cell>
        </row>
        <row r="263">
          <cell r="A263">
            <v>190</v>
          </cell>
          <cell r="B263" t="str">
            <v>10-12-2025</v>
          </cell>
          <cell r="C263" t="str">
            <v>13-12-2025</v>
          </cell>
          <cell r="D263" t="str">
            <v>BUENAVENTURA EXPRESS</v>
          </cell>
          <cell r="E263" t="str">
            <v>MARITIMO</v>
          </cell>
          <cell r="F263" t="str">
            <v>FRUITJOY</v>
          </cell>
          <cell r="G263" t="str">
            <v>SHANGHAI HUI ZHAN INTERNATIONAL TRADE CO., LTD</v>
          </cell>
          <cell r="H263" t="str">
            <v>CEREZAS</v>
          </cell>
          <cell r="I263" t="str">
            <v>LAPINS /</v>
          </cell>
          <cell r="J263" t="str">
            <v>ALMAHUE EXPORT</v>
          </cell>
          <cell r="K263" t="str">
            <v>CONS-LIBRE</v>
          </cell>
          <cell r="L263" t="str">
            <v>FOB</v>
          </cell>
          <cell r="M263" t="str">
            <v>3520</v>
          </cell>
          <cell r="N263" t="str">
            <v>108353.75</v>
          </cell>
          <cell r="O263" t="str">
            <v>9983.76</v>
          </cell>
          <cell r="P263" t="str">
            <v>0.00</v>
          </cell>
          <cell r="Q263" t="str">
            <v>76320.18</v>
          </cell>
          <cell r="R263">
            <v>1738</v>
          </cell>
          <cell r="S263" t="str">
            <v>56320.00</v>
          </cell>
          <cell r="T263" t="str">
            <v>51,639,808</v>
          </cell>
          <cell r="U263" t="str">
            <v>1378</v>
          </cell>
          <cell r="V263" t="str">
            <v>20000.00</v>
          </cell>
          <cell r="W263">
            <v>18338000</v>
          </cell>
          <cell r="X263" t="str">
            <v>13152949-K</v>
          </cell>
          <cell r="Y263" t="str">
            <v>25-12-2025</v>
          </cell>
          <cell r="Z263" t="str">
            <v>SI</v>
          </cell>
          <cell r="AA263" t="str">
            <v>SI</v>
          </cell>
          <cell r="AB263" t="str">
            <v>23-07-2026</v>
          </cell>
          <cell r="AC263" t="str">
            <v>Sin Aprobar</v>
          </cell>
        </row>
        <row r="264">
          <cell r="A264">
            <v>189</v>
          </cell>
          <cell r="B264" t="str">
            <v>11-12-2025</v>
          </cell>
          <cell r="C264" t="str">
            <v>13-12-2025</v>
          </cell>
          <cell r="D264" t="str">
            <v>BUENAVENTURA EXPRESS</v>
          </cell>
          <cell r="E264" t="str">
            <v>MARITIMO</v>
          </cell>
          <cell r="F264" t="str">
            <v>HING LEE</v>
          </cell>
          <cell r="G264" t="str">
            <v>SHENZHEN JINSHUN'AN INTERNATIONAL FREIGHT FORWARDING CO.,LTD</v>
          </cell>
          <cell r="H264" t="str">
            <v>CEREZAS</v>
          </cell>
          <cell r="I264" t="str">
            <v>LAPINS /</v>
          </cell>
          <cell r="J264" t="str">
            <v>ALMAHUE EXPORT</v>
          </cell>
          <cell r="K264" t="str">
            <v>CONS-LIBRE</v>
          </cell>
          <cell r="L264" t="str">
            <v>FOB</v>
          </cell>
          <cell r="M264" t="str">
            <v>3528</v>
          </cell>
          <cell r="N264" t="str">
            <v>91875.73</v>
          </cell>
          <cell r="O264" t="str">
            <v>9894.51</v>
          </cell>
          <cell r="P264" t="str">
            <v>0.00</v>
          </cell>
          <cell r="Q264" t="str">
            <v>59166.94</v>
          </cell>
          <cell r="R264">
            <v>1737</v>
          </cell>
          <cell r="S264" t="str">
            <v>56448.00</v>
          </cell>
          <cell r="T264" t="str">
            <v>51,757,171</v>
          </cell>
          <cell r="U264" t="str">
            <v>1377</v>
          </cell>
          <cell r="V264" t="str">
            <v>2719.00</v>
          </cell>
          <cell r="W264">
            <v>2493051</v>
          </cell>
          <cell r="X264" t="str">
            <v>13156841-K</v>
          </cell>
          <cell r="Y264" t="str">
            <v>24-12-2025</v>
          </cell>
          <cell r="Z264" t="str">
            <v>SI</v>
          </cell>
          <cell r="AA264" t="str">
            <v>SI</v>
          </cell>
          <cell r="AB264" t="str">
            <v>22-07-2026</v>
          </cell>
          <cell r="AC264" t="str">
            <v>Sin Aprobar</v>
          </cell>
        </row>
        <row r="265">
          <cell r="A265">
            <v>188</v>
          </cell>
          <cell r="B265" t="str">
            <v>12-12-2025</v>
          </cell>
          <cell r="C265" t="str">
            <v>16-12-2025</v>
          </cell>
          <cell r="D265" t="str">
            <v>MSC NITYA B</v>
          </cell>
          <cell r="E265" t="str">
            <v>MARITIMO</v>
          </cell>
          <cell r="F265" t="str">
            <v>HING LEE</v>
          </cell>
          <cell r="G265" t="str">
            <v>SHENZHEN JINSHUN'AN INTERNATIONAL FREIGHT FORWARDING CO.,LTD</v>
          </cell>
          <cell r="H265" t="str">
            <v>CEREZAS</v>
          </cell>
          <cell r="I265" t="str">
            <v>LAPINS / SKEENA /</v>
          </cell>
          <cell r="J265" t="str">
            <v>ALMAHUE EXPORT</v>
          </cell>
          <cell r="K265" t="str">
            <v>CONS-LIBRE</v>
          </cell>
          <cell r="L265" t="str">
            <v>FOB</v>
          </cell>
          <cell r="M265" t="str">
            <v>3552</v>
          </cell>
          <cell r="N265" t="str">
            <v>72219.11</v>
          </cell>
          <cell r="O265" t="str">
            <v>10181.17</v>
          </cell>
          <cell r="P265" t="str">
            <v>0.00</v>
          </cell>
          <cell r="Q265" t="str">
            <v>40800.01</v>
          </cell>
          <cell r="R265">
            <v>1767</v>
          </cell>
          <cell r="S265" t="str">
            <v>49728.00</v>
          </cell>
          <cell r="T265" t="str">
            <v>45,353,428</v>
          </cell>
          <cell r="V265" t="str">
            <v>0.00</v>
          </cell>
          <cell r="W265">
            <v>0</v>
          </cell>
          <cell r="X265" t="str">
            <v>13161403-9</v>
          </cell>
          <cell r="Y265" t="str">
            <v>24-12-2025</v>
          </cell>
          <cell r="Z265" t="str">
            <v>SI</v>
          </cell>
          <cell r="AA265" t="str">
            <v>NO</v>
          </cell>
          <cell r="AB265" t="str">
            <v>22-07-2026</v>
          </cell>
          <cell r="AC265" t="str">
            <v>Sin Aprobar</v>
          </cell>
        </row>
        <row r="266">
          <cell r="A266">
            <v>187</v>
          </cell>
          <cell r="B266" t="str">
            <v>09-12-2025</v>
          </cell>
          <cell r="C266" t="str">
            <v>11-12-2025</v>
          </cell>
          <cell r="D266" t="str">
            <v>MAERSK SKARSTIND</v>
          </cell>
          <cell r="E266" t="str">
            <v>MARITIMO</v>
          </cell>
          <cell r="F266" t="str">
            <v>KINGO</v>
          </cell>
          <cell r="G266" t="str">
            <v>SHENZHEN FANYA XIANSHIHUI CO.,LTD</v>
          </cell>
          <cell r="H266" t="str">
            <v>CEREZAS</v>
          </cell>
          <cell r="I266" t="str">
            <v>KORDIA / LAPINS / SANTINA / SKEENA /</v>
          </cell>
          <cell r="J266" t="str">
            <v>ALMAHUE EXPORT</v>
          </cell>
          <cell r="K266" t="str">
            <v>CONS-LIBRE</v>
          </cell>
          <cell r="L266" t="str">
            <v>FOB</v>
          </cell>
          <cell r="M266" t="str">
            <v>3584</v>
          </cell>
          <cell r="N266" t="str">
            <v>690860.64</v>
          </cell>
          <cell r="O266" t="str">
            <v>107431.11</v>
          </cell>
          <cell r="P266" t="str">
            <v>0.00</v>
          </cell>
          <cell r="Q266" t="str">
            <v>457546.86</v>
          </cell>
          <cell r="R266">
            <v>1725</v>
          </cell>
          <cell r="S266" t="str">
            <v>57344.00</v>
          </cell>
          <cell r="T266" t="str">
            <v>52,985,283</v>
          </cell>
          <cell r="U266" t="str">
            <v>1376</v>
          </cell>
          <cell r="V266" t="str">
            <v>9977.00</v>
          </cell>
          <cell r="W266">
            <v>9218648</v>
          </cell>
          <cell r="X266" t="str">
            <v>13149933-7</v>
          </cell>
          <cell r="Y266" t="str">
            <v>26-12-2025</v>
          </cell>
          <cell r="Z266" t="str">
            <v>SI</v>
          </cell>
          <cell r="AA266" t="str">
            <v>SI</v>
          </cell>
          <cell r="AB266" t="str">
            <v>24-07-2026</v>
          </cell>
          <cell r="AC266" t="str">
            <v>Sin Aprobar</v>
          </cell>
        </row>
        <row r="267">
          <cell r="A267">
            <v>186</v>
          </cell>
          <cell r="B267" t="str">
            <v>09-12-2025</v>
          </cell>
          <cell r="C267" t="str">
            <v>11-12-2025</v>
          </cell>
          <cell r="D267" t="str">
            <v>MAERSK SKARSTIND</v>
          </cell>
          <cell r="E267" t="str">
            <v>MARITIMO</v>
          </cell>
          <cell r="F267" t="str">
            <v>HING LEE</v>
          </cell>
          <cell r="G267" t="str">
            <v>SHENZHEN JINSHUN'AN INTERNATIONAL FREIGHT FORWARDING CO.,LTD</v>
          </cell>
          <cell r="H267" t="str">
            <v>CEREZAS</v>
          </cell>
          <cell r="I267" t="str">
            <v>KORDIA / LAPINS / SKEENA /</v>
          </cell>
          <cell r="J267" t="str">
            <v>ALMAHUE EXPORT</v>
          </cell>
          <cell r="K267" t="str">
            <v>CONS-LIBRE</v>
          </cell>
          <cell r="L267" t="str">
            <v>FOB</v>
          </cell>
          <cell r="M267" t="str">
            <v>3520</v>
          </cell>
          <cell r="N267" t="str">
            <v>111096.92</v>
          </cell>
          <cell r="O267" t="str">
            <v>10448.48</v>
          </cell>
          <cell r="P267" t="str">
            <v>0.00</v>
          </cell>
          <cell r="Q267" t="str">
            <v>78841.81</v>
          </cell>
          <cell r="R267">
            <v>1735</v>
          </cell>
          <cell r="S267" t="str">
            <v>56320.00</v>
          </cell>
          <cell r="T267" t="str">
            <v>52,039,117</v>
          </cell>
          <cell r="U267" t="str">
            <v>1375</v>
          </cell>
          <cell r="V267" t="str">
            <v>22522.00</v>
          </cell>
          <cell r="W267">
            <v>20810103</v>
          </cell>
          <cell r="X267" t="str">
            <v>13149930-2</v>
          </cell>
          <cell r="Y267" t="str">
            <v>24-12-2025</v>
          </cell>
          <cell r="Z267" t="str">
            <v>SI</v>
          </cell>
          <cell r="AA267" t="str">
            <v>SI</v>
          </cell>
          <cell r="AB267" t="str">
            <v>22-07-2026</v>
          </cell>
          <cell r="AC267" t="str">
            <v>Sin Aprobar</v>
          </cell>
        </row>
        <row r="268">
          <cell r="A268">
            <v>185</v>
          </cell>
          <cell r="B268" t="str">
            <v>09-12-2025</v>
          </cell>
          <cell r="C268" t="str">
            <v>11-12-2025</v>
          </cell>
          <cell r="D268" t="str">
            <v>MAERSK SKARSTIND</v>
          </cell>
          <cell r="E268" t="str">
            <v>MARITIMO</v>
          </cell>
          <cell r="F268" t="str">
            <v>JINSHENG</v>
          </cell>
          <cell r="G268" t="str">
            <v>CHUN WAN YI (GUANGZHOU) SUPPLY CHAIN MANAGEMENT CO., LTD</v>
          </cell>
          <cell r="H268" t="str">
            <v>CEREZAS</v>
          </cell>
          <cell r="I268" t="str">
            <v>LAPINS /</v>
          </cell>
          <cell r="J268" t="str">
            <v>ALMAHUE EXPORT</v>
          </cell>
          <cell r="K268" t="str">
            <v>CONS-LIBRE</v>
          </cell>
          <cell r="L268" t="str">
            <v>FOB</v>
          </cell>
          <cell r="M268" t="str">
            <v>3520</v>
          </cell>
          <cell r="N268" t="str">
            <v>143678.13</v>
          </cell>
          <cell r="O268" t="str">
            <v>10402.11</v>
          </cell>
          <cell r="P268" t="str">
            <v>0.00</v>
          </cell>
          <cell r="Q268" t="str">
            <v>107853.10</v>
          </cell>
          <cell r="R268">
            <v>1724</v>
          </cell>
          <cell r="S268" t="str">
            <v>56320.00</v>
          </cell>
          <cell r="T268" t="str">
            <v>52,039,117</v>
          </cell>
          <cell r="U268" t="str">
            <v>1374</v>
          </cell>
          <cell r="V268" t="str">
            <v>51533.00</v>
          </cell>
          <cell r="W268">
            <v>47615977</v>
          </cell>
          <cell r="X268" t="str">
            <v>13149924-8</v>
          </cell>
          <cell r="Y268" t="str">
            <v>26-12-2025</v>
          </cell>
          <cell r="Z268" t="str">
            <v>SI</v>
          </cell>
          <cell r="AA268" t="str">
            <v>SI</v>
          </cell>
          <cell r="AB268" t="str">
            <v>24-07-2026</v>
          </cell>
          <cell r="AC268" t="str">
            <v>Sin Aprobar</v>
          </cell>
        </row>
        <row r="269">
          <cell r="A269">
            <v>184</v>
          </cell>
          <cell r="B269" t="str">
            <v>09-12-2025</v>
          </cell>
          <cell r="C269" t="str">
            <v>11-12-2025</v>
          </cell>
          <cell r="D269" t="str">
            <v>MAERSK SKARSTIND</v>
          </cell>
          <cell r="E269" t="str">
            <v>MARITIMO</v>
          </cell>
          <cell r="F269" t="str">
            <v>HUASHENG</v>
          </cell>
          <cell r="G269" t="str">
            <v>CHUN WAN YI (GUANGZHOU) SUPPLY CHAIN MANAGEMENT CO., LTD</v>
          </cell>
          <cell r="H269" t="str">
            <v>CEREZAS</v>
          </cell>
          <cell r="I269" t="str">
            <v>LAPINS /</v>
          </cell>
          <cell r="J269" t="str">
            <v>ALMAHUE EXPORT</v>
          </cell>
          <cell r="K269" t="str">
            <v>CONS-LIBRE</v>
          </cell>
          <cell r="L269" t="str">
            <v>FOB</v>
          </cell>
          <cell r="M269" t="str">
            <v>3520</v>
          </cell>
          <cell r="N269" t="str">
            <v>106859.01</v>
          </cell>
          <cell r="O269" t="str">
            <v>10358.35</v>
          </cell>
          <cell r="P269" t="str">
            <v>0.00</v>
          </cell>
          <cell r="Q269" t="str">
            <v>77198.32</v>
          </cell>
          <cell r="R269">
            <v>1723</v>
          </cell>
          <cell r="S269" t="str">
            <v>56320.00</v>
          </cell>
          <cell r="T269" t="str">
            <v>52,039,117</v>
          </cell>
          <cell r="U269" t="str">
            <v>1373</v>
          </cell>
          <cell r="V269" t="str">
            <v>20878.00</v>
          </cell>
          <cell r="W269">
            <v>19291063</v>
          </cell>
          <cell r="X269" t="str">
            <v>13149919-1</v>
          </cell>
          <cell r="Y269" t="str">
            <v>24-12-2025</v>
          </cell>
          <cell r="Z269" t="str">
            <v>SI</v>
          </cell>
          <cell r="AA269" t="str">
            <v>SI</v>
          </cell>
          <cell r="AB269" t="str">
            <v>22-07-2026</v>
          </cell>
          <cell r="AC269" t="str">
            <v>Sin Aprobar</v>
          </cell>
        </row>
        <row r="270">
          <cell r="A270">
            <v>183</v>
          </cell>
          <cell r="B270" t="str">
            <v>10-12-2025</v>
          </cell>
          <cell r="C270" t="str">
            <v>13-12-2025</v>
          </cell>
          <cell r="D270" t="str">
            <v>BUENAVENTURA EXPRESS</v>
          </cell>
          <cell r="E270" t="str">
            <v>MARITIMO</v>
          </cell>
          <cell r="F270" t="str">
            <v>HING LEE</v>
          </cell>
          <cell r="G270" t="str">
            <v>SHENZHEN JINSHUN'AN INTERNATIONAL FREIGHT FORWARDING CO.,LTD</v>
          </cell>
          <cell r="H270" t="str">
            <v>CEREZAS</v>
          </cell>
          <cell r="I270" t="str">
            <v>LAPINS / SANTINA /</v>
          </cell>
          <cell r="J270" t="str">
            <v>ALMAHUE EXPORT</v>
          </cell>
          <cell r="K270" t="str">
            <v>CONS-LIBRE</v>
          </cell>
          <cell r="L270" t="str">
            <v>FOB</v>
          </cell>
          <cell r="M270" t="str">
            <v>3520</v>
          </cell>
          <cell r="N270" t="str">
            <v>102986.28</v>
          </cell>
          <cell r="O270" t="str">
            <v>10409.00</v>
          </cell>
          <cell r="P270" t="str">
            <v>0.00</v>
          </cell>
          <cell r="Q270" t="str">
            <v>69440.80</v>
          </cell>
          <cell r="R270">
            <v>1736</v>
          </cell>
          <cell r="S270" t="str">
            <v>56320.00</v>
          </cell>
          <cell r="T270" t="str">
            <v>51,639,808</v>
          </cell>
          <cell r="U270" t="str">
            <v>1372</v>
          </cell>
          <cell r="V270" t="str">
            <v>13121.00</v>
          </cell>
          <cell r="W270">
            <v>12030645</v>
          </cell>
          <cell r="X270" t="str">
            <v>13153543-0</v>
          </cell>
          <cell r="Y270" t="str">
            <v>24-12-2025</v>
          </cell>
          <cell r="Z270" t="str">
            <v>SI</v>
          </cell>
          <cell r="AA270" t="str">
            <v>SI</v>
          </cell>
          <cell r="AB270" t="str">
            <v>22-07-2026</v>
          </cell>
          <cell r="AC270" t="str">
            <v>Sin Aprobar</v>
          </cell>
        </row>
        <row r="271">
          <cell r="A271">
            <v>182</v>
          </cell>
          <cell r="B271" t="str">
            <v>09-12-2025</v>
          </cell>
          <cell r="C271" t="str">
            <v>11-12-2025</v>
          </cell>
          <cell r="D271" t="str">
            <v>MAERSK SKARSTIND</v>
          </cell>
          <cell r="E271" t="str">
            <v>MARITIMO</v>
          </cell>
          <cell r="F271" t="str">
            <v>KINGO</v>
          </cell>
          <cell r="G271" t="str">
            <v>SHENZHEN FANYA XIANSHIHUI CO.,LTD</v>
          </cell>
          <cell r="H271" t="str">
            <v>CEREZAS</v>
          </cell>
          <cell r="I271" t="str">
            <v>LAPINS /</v>
          </cell>
          <cell r="J271" t="str">
            <v>ALMAHUE EXPORT</v>
          </cell>
          <cell r="K271" t="str">
            <v>CONS-LIBRE</v>
          </cell>
          <cell r="L271" t="str">
            <v>FOB</v>
          </cell>
          <cell r="M271" t="str">
            <v>3520</v>
          </cell>
          <cell r="N271" t="str">
            <v>1156320.00</v>
          </cell>
          <cell r="O271" t="str">
            <v>105749.21</v>
          </cell>
          <cell r="P271" t="str">
            <v>0.00</v>
          </cell>
          <cell r="Q271" t="str">
            <v>845768.31</v>
          </cell>
          <cell r="R271">
            <v>1722</v>
          </cell>
          <cell r="S271" t="str">
            <v>56320.00</v>
          </cell>
          <cell r="T271" t="str">
            <v>52,039,117</v>
          </cell>
          <cell r="U271" t="str">
            <v>1371</v>
          </cell>
          <cell r="V271" t="str">
            <v>68122.00</v>
          </cell>
          <cell r="W271">
            <v>62944047</v>
          </cell>
          <cell r="X271" t="str">
            <v>13149917-5</v>
          </cell>
          <cell r="Y271" t="str">
            <v>26-12-2025</v>
          </cell>
          <cell r="Z271" t="str">
            <v>SI</v>
          </cell>
          <cell r="AA271" t="str">
            <v>SI</v>
          </cell>
          <cell r="AB271" t="str">
            <v>24-07-2026</v>
          </cell>
          <cell r="AC271" t="str">
            <v>Sin Aprobar</v>
          </cell>
        </row>
        <row r="272">
          <cell r="A272">
            <v>181</v>
          </cell>
          <cell r="B272" t="str">
            <v>09-12-2025</v>
          </cell>
          <cell r="C272" t="str">
            <v>11-12-2025</v>
          </cell>
          <cell r="D272" t="str">
            <v>MAERSK SKARSTIND</v>
          </cell>
          <cell r="E272" t="str">
            <v>MARITIMO</v>
          </cell>
          <cell r="F272" t="str">
            <v>HING LEE</v>
          </cell>
          <cell r="G272" t="str">
            <v>SHENZHEN JINSHUN'AN INTERNATIONAL FREIGHT FORWARDING CO.,LTD</v>
          </cell>
          <cell r="H272" t="str">
            <v>CEREZAS</v>
          </cell>
          <cell r="I272" t="str">
            <v>LAPINS /</v>
          </cell>
          <cell r="J272" t="str">
            <v>ALMAHUE EXPORT</v>
          </cell>
          <cell r="K272" t="str">
            <v>CONS-LIBRE</v>
          </cell>
          <cell r="L272" t="str">
            <v>FOB</v>
          </cell>
          <cell r="M272" t="str">
            <v>3520</v>
          </cell>
          <cell r="N272" t="str">
            <v>127789.31</v>
          </cell>
          <cell r="O272" t="str">
            <v>10448.00</v>
          </cell>
          <cell r="P272" t="str">
            <v>0.00</v>
          </cell>
          <cell r="Q272" t="str">
            <v>92750.26</v>
          </cell>
          <cell r="R272">
            <v>1733</v>
          </cell>
          <cell r="S272" t="str">
            <v>56320.00</v>
          </cell>
          <cell r="T272" t="str">
            <v>52,039,117</v>
          </cell>
          <cell r="U272" t="str">
            <v>1370</v>
          </cell>
          <cell r="V272" t="str">
            <v>36430.00</v>
          </cell>
          <cell r="W272">
            <v>33660956</v>
          </cell>
          <cell r="X272" t="str">
            <v>13149909-4</v>
          </cell>
          <cell r="Y272" t="str">
            <v>24-12-2025</v>
          </cell>
          <cell r="Z272" t="str">
            <v>SI</v>
          </cell>
          <cell r="AA272" t="str">
            <v>SI</v>
          </cell>
          <cell r="AB272" t="str">
            <v>22-07-2026</v>
          </cell>
          <cell r="AC272" t="str">
            <v>Sin Aprobar</v>
          </cell>
        </row>
        <row r="273">
          <cell r="A273">
            <v>180</v>
          </cell>
          <cell r="B273" t="str">
            <v>07-12-2025</v>
          </cell>
          <cell r="C273" t="str">
            <v>09-12-2025</v>
          </cell>
          <cell r="D273" t="str">
            <v>COSCO AMERICA</v>
          </cell>
          <cell r="E273" t="str">
            <v>MARITIMO</v>
          </cell>
          <cell r="F273" t="str">
            <v>SANGO</v>
          </cell>
          <cell r="G273" t="str">
            <v>ZHEJIANG OHENG IMPORT &amp; EXPORT CO.,LTD.</v>
          </cell>
          <cell r="H273" t="str">
            <v>CEREZAS</v>
          </cell>
          <cell r="I273" t="str">
            <v>LAPINS /</v>
          </cell>
          <cell r="J273" t="str">
            <v>ALMAHUE EXPORT</v>
          </cell>
          <cell r="K273" t="str">
            <v>CONS-LIBRE</v>
          </cell>
          <cell r="L273" t="str">
            <v>FOB</v>
          </cell>
          <cell r="M273" t="str">
            <v>3520</v>
          </cell>
          <cell r="N273" t="str">
            <v>862570.00</v>
          </cell>
          <cell r="O273" t="str">
            <v>68612.28</v>
          </cell>
          <cell r="P273" t="str">
            <v>0.00</v>
          </cell>
          <cell r="Q273" t="str">
            <v>656786.32</v>
          </cell>
          <cell r="R273">
            <v>1703</v>
          </cell>
          <cell r="S273" t="str">
            <v>56320.00</v>
          </cell>
          <cell r="T273" t="str">
            <v>51,815,526</v>
          </cell>
          <cell r="U273" t="str">
            <v>1369</v>
          </cell>
          <cell r="V273" t="str">
            <v>40316.00</v>
          </cell>
          <cell r="W273">
            <v>37091526</v>
          </cell>
          <cell r="X273" t="str">
            <v>13148621-9</v>
          </cell>
          <cell r="Y273" t="str">
            <v>23-12-2025</v>
          </cell>
          <cell r="Z273" t="str">
            <v>SI</v>
          </cell>
          <cell r="AA273" t="str">
            <v>SI</v>
          </cell>
          <cell r="AB273" t="str">
            <v>21-07-2026</v>
          </cell>
          <cell r="AC273" t="str">
            <v>Sin Aprobar</v>
          </cell>
        </row>
        <row r="274">
          <cell r="A274">
            <v>179</v>
          </cell>
          <cell r="B274" t="str">
            <v>07-12-2025</v>
          </cell>
          <cell r="C274" t="str">
            <v>09-12-2025</v>
          </cell>
          <cell r="D274" t="str">
            <v>COSCO AMERICA</v>
          </cell>
          <cell r="E274" t="str">
            <v>MARITIMO</v>
          </cell>
          <cell r="F274" t="str">
            <v>YOGO</v>
          </cell>
          <cell r="G274" t="str">
            <v>CHENGDU RAILPORT EURASIA IMPORT AND EXPORT TRADE CO.,LTD.</v>
          </cell>
          <cell r="H274" t="str">
            <v>CEREZAS</v>
          </cell>
          <cell r="I274" t="str">
            <v>LAPINS / SANTINA / SKEENA /</v>
          </cell>
          <cell r="J274" t="str">
            <v>ALMAHUE EXPORT</v>
          </cell>
          <cell r="K274" t="str">
            <v>CONS-LIBRE</v>
          </cell>
          <cell r="L274" t="str">
            <v>FOB</v>
          </cell>
          <cell r="M274" t="str">
            <v>3568</v>
          </cell>
          <cell r="N274" t="str">
            <v>91667.53</v>
          </cell>
          <cell r="O274" t="str">
            <v>9599.80</v>
          </cell>
          <cell r="P274" t="str">
            <v>0.00</v>
          </cell>
          <cell r="Q274" t="str">
            <v>63511.39</v>
          </cell>
          <cell r="R274">
            <v>1702</v>
          </cell>
          <cell r="S274" t="str">
            <v>57088.00</v>
          </cell>
          <cell r="T274" t="str">
            <v>52,522,102</v>
          </cell>
          <cell r="U274" t="str">
            <v>1368</v>
          </cell>
          <cell r="V274" t="str">
            <v>6423.00</v>
          </cell>
          <cell r="W274">
            <v>5909288</v>
          </cell>
          <cell r="X274" t="str">
            <v>13148608-1</v>
          </cell>
          <cell r="Y274" t="str">
            <v>27-12-2025</v>
          </cell>
          <cell r="Z274" t="str">
            <v>SI</v>
          </cell>
          <cell r="AA274" t="str">
            <v>SI</v>
          </cell>
          <cell r="AB274" t="str">
            <v>25-07-2026</v>
          </cell>
          <cell r="AC274" t="str">
            <v>Sin Aprobar</v>
          </cell>
        </row>
        <row r="275">
          <cell r="A275">
            <v>178</v>
          </cell>
          <cell r="B275" t="str">
            <v>07-12-2025</v>
          </cell>
          <cell r="C275" t="str">
            <v>09-12-2025</v>
          </cell>
          <cell r="D275" t="str">
            <v>COSCO AMERICA</v>
          </cell>
          <cell r="E275" t="str">
            <v>MARITIMO</v>
          </cell>
          <cell r="F275" t="str">
            <v>YUERUN TRADING</v>
          </cell>
          <cell r="G275" t="str">
            <v>SHENZHEN FANYA XIANSHIHUI CO.,LTD</v>
          </cell>
          <cell r="H275" t="str">
            <v>CEREZAS</v>
          </cell>
          <cell r="I275" t="str">
            <v>LAPINS /</v>
          </cell>
          <cell r="J275" t="str">
            <v>ALMAHUE EXPORT</v>
          </cell>
          <cell r="K275" t="str">
            <v>CONS-LIBRE</v>
          </cell>
          <cell r="L275" t="str">
            <v>FOB</v>
          </cell>
          <cell r="M275" t="str">
            <v>3520</v>
          </cell>
          <cell r="N275" t="str">
            <v>777700.00</v>
          </cell>
          <cell r="O275" t="str">
            <v>68952.20</v>
          </cell>
          <cell r="P275" t="str">
            <v>0.00</v>
          </cell>
          <cell r="Q275" t="str">
            <v>589978.45</v>
          </cell>
          <cell r="R275">
            <v>1720</v>
          </cell>
          <cell r="S275" t="str">
            <v>56320.00</v>
          </cell>
          <cell r="T275" t="str">
            <v>51,815,526</v>
          </cell>
          <cell r="U275" t="str">
            <v>1367</v>
          </cell>
          <cell r="V275" t="str">
            <v>30486.00</v>
          </cell>
          <cell r="W275">
            <v>28047730</v>
          </cell>
          <cell r="X275" t="str">
            <v>13148610-K</v>
          </cell>
          <cell r="Y275" t="str">
            <v>27-12-2025</v>
          </cell>
          <cell r="Z275" t="str">
            <v>SI</v>
          </cell>
          <cell r="AA275" t="str">
            <v>SI</v>
          </cell>
          <cell r="AB275" t="str">
            <v>25-07-2026</v>
          </cell>
          <cell r="AC275" t="str">
            <v>Sin Aprobar</v>
          </cell>
        </row>
        <row r="276">
          <cell r="A276">
            <v>177</v>
          </cell>
          <cell r="B276" t="str">
            <v>07-12-2025</v>
          </cell>
          <cell r="C276" t="str">
            <v>09-12-2025</v>
          </cell>
          <cell r="D276" t="str">
            <v>COSCO AMERICA</v>
          </cell>
          <cell r="E276" t="str">
            <v>MARITIMO</v>
          </cell>
          <cell r="F276" t="str">
            <v>WUHAN CCMAX FRUITS CO., LTD</v>
          </cell>
          <cell r="G276" t="str">
            <v>OPTIMIZE INTEGRATION GROUP INC</v>
          </cell>
          <cell r="H276" t="str">
            <v>CEREZAS</v>
          </cell>
          <cell r="I276" t="str">
            <v>LAPINS /</v>
          </cell>
          <cell r="J276" t="str">
            <v>ALMAHUE EXPORT</v>
          </cell>
          <cell r="K276" t="str">
            <v>CONS-LIBRE</v>
          </cell>
          <cell r="L276" t="str">
            <v>FOB</v>
          </cell>
          <cell r="M276" t="str">
            <v>3520</v>
          </cell>
          <cell r="N276" t="str">
            <v>126550.07</v>
          </cell>
          <cell r="O276" t="str">
            <v>9851.50</v>
          </cell>
          <cell r="P276" t="str">
            <v>0.00</v>
          </cell>
          <cell r="Q276" t="str">
            <v>93274.08</v>
          </cell>
          <cell r="R276">
            <v>1719</v>
          </cell>
          <cell r="S276" t="str">
            <v>56320.00</v>
          </cell>
          <cell r="T276" t="str">
            <v>51,815,526</v>
          </cell>
          <cell r="U276" t="str">
            <v>1366</v>
          </cell>
          <cell r="V276" t="str">
            <v>36954.00</v>
          </cell>
          <cell r="W276">
            <v>33998419</v>
          </cell>
          <cell r="X276" t="str">
            <v>13148612-K</v>
          </cell>
          <cell r="Y276" t="str">
            <v>20-12-2025</v>
          </cell>
          <cell r="Z276" t="str">
            <v>SI</v>
          </cell>
          <cell r="AA276" t="str">
            <v>SI</v>
          </cell>
          <cell r="AB276" t="str">
            <v>18-07-2026</v>
          </cell>
          <cell r="AC276" t="str">
            <v>Sin Aprobar</v>
          </cell>
        </row>
        <row r="277">
          <cell r="A277">
            <v>176</v>
          </cell>
          <cell r="B277" t="str">
            <v>07-12-2025</v>
          </cell>
          <cell r="C277" t="str">
            <v>09-12-2025</v>
          </cell>
          <cell r="D277" t="str">
            <v>COSCO AMERICA</v>
          </cell>
          <cell r="E277" t="str">
            <v>MARITIMO</v>
          </cell>
          <cell r="F277" t="str">
            <v>ZEGOO</v>
          </cell>
          <cell r="G277" t="str">
            <v>ZHEJIANG OHENG IMPORT &amp; EXPORT CO., LTD.</v>
          </cell>
          <cell r="H277" t="str">
            <v>CEREZAS</v>
          </cell>
          <cell r="I277" t="str">
            <v>LAPINS / SANTINA / SKEENA /</v>
          </cell>
          <cell r="J277" t="str">
            <v>ALMAHUE EXPORT</v>
          </cell>
          <cell r="K277" t="str">
            <v>CONS-LIBRE</v>
          </cell>
          <cell r="L277" t="str">
            <v>FOB</v>
          </cell>
          <cell r="M277" t="str">
            <v>3520</v>
          </cell>
          <cell r="N277" t="str">
            <v>843208.00</v>
          </cell>
          <cell r="O277" t="str">
            <v>68612.28</v>
          </cell>
          <cell r="P277" t="str">
            <v>0.00</v>
          </cell>
          <cell r="Q277" t="str">
            <v>645822.72</v>
          </cell>
          <cell r="R277">
            <v>1701</v>
          </cell>
          <cell r="S277" t="str">
            <v>56320.00</v>
          </cell>
          <cell r="T277" t="str">
            <v>51,815,526</v>
          </cell>
          <cell r="U277" t="str">
            <v>1365</v>
          </cell>
          <cell r="V277" t="str">
            <v>38703.00</v>
          </cell>
          <cell r="W277">
            <v>35607534</v>
          </cell>
          <cell r="X277" t="str">
            <v>13148588-3</v>
          </cell>
          <cell r="Y277" t="str">
            <v>27-12-2025</v>
          </cell>
          <cell r="Z277" t="str">
            <v>SI</v>
          </cell>
          <cell r="AA277" t="str">
            <v>SI</v>
          </cell>
          <cell r="AB277" t="str">
            <v>25-07-2026</v>
          </cell>
          <cell r="AC277" t="str">
            <v>Sin Aprobar</v>
          </cell>
        </row>
        <row r="278">
          <cell r="A278">
            <v>175</v>
          </cell>
          <cell r="B278" t="str">
            <v>06-12-2025</v>
          </cell>
          <cell r="C278" t="str">
            <v>09-12-2025</v>
          </cell>
          <cell r="D278" t="str">
            <v>COSCO AMERICA</v>
          </cell>
          <cell r="E278" t="str">
            <v>MARITIMO</v>
          </cell>
          <cell r="F278" t="str">
            <v>YOGO</v>
          </cell>
          <cell r="G278" t="str">
            <v>CHENGDU RAILPORT EURASIA IMPORT AND EXPORT TRADE CO.,LTD.</v>
          </cell>
          <cell r="H278" t="str">
            <v>CEREZAS</v>
          </cell>
          <cell r="I278" t="str">
            <v>LAPINS / SANTINA /</v>
          </cell>
          <cell r="J278" t="str">
            <v>ALMAHUE EXPORT</v>
          </cell>
          <cell r="K278" t="str">
            <v>CONS-LIBRE</v>
          </cell>
          <cell r="L278" t="str">
            <v>FOB</v>
          </cell>
          <cell r="M278" t="str">
            <v>3536</v>
          </cell>
          <cell r="N278" t="str">
            <v>106601.62</v>
          </cell>
          <cell r="O278" t="str">
            <v>9599.80</v>
          </cell>
          <cell r="P278" t="str">
            <v>0.00</v>
          </cell>
          <cell r="Q278" t="str">
            <v>77058.78</v>
          </cell>
          <cell r="R278">
            <v>1700</v>
          </cell>
          <cell r="S278" t="str">
            <v>56576.00</v>
          </cell>
          <cell r="T278" t="str">
            <v>52,051,052</v>
          </cell>
          <cell r="U278" t="str">
            <v>1364</v>
          </cell>
          <cell r="V278" t="str">
            <v>20483.00</v>
          </cell>
          <cell r="W278">
            <v>18844770</v>
          </cell>
          <cell r="X278" t="str">
            <v>13147506-3</v>
          </cell>
          <cell r="Y278" t="str">
            <v>24-12-2025</v>
          </cell>
          <cell r="Z278" t="str">
            <v>SI</v>
          </cell>
          <cell r="AA278" t="str">
            <v>SI</v>
          </cell>
          <cell r="AB278" t="str">
            <v>22-07-2026</v>
          </cell>
          <cell r="AC278" t="str">
            <v>Sin Aprobar</v>
          </cell>
        </row>
        <row r="279">
          <cell r="A279">
            <v>174</v>
          </cell>
          <cell r="B279" t="str">
            <v>07-12-2025</v>
          </cell>
          <cell r="C279" t="str">
            <v>09-12-2025</v>
          </cell>
          <cell r="D279" t="str">
            <v>COSCO AMERICA</v>
          </cell>
          <cell r="E279" t="str">
            <v>MARITIMO</v>
          </cell>
          <cell r="F279" t="str">
            <v>XINGWAN</v>
          </cell>
          <cell r="G279" t="str">
            <v>ZHEJIANG OHENG IMPORT &amp; EXPORT CO.,LTD.</v>
          </cell>
          <cell r="H279" t="str">
            <v>CEREZAS</v>
          </cell>
          <cell r="I279" t="str">
            <v>LAPINS / SANTINA / SKEENA /</v>
          </cell>
          <cell r="J279" t="str">
            <v>ALMAHUE EXPORT</v>
          </cell>
          <cell r="K279" t="str">
            <v>CONS-LIBRE</v>
          </cell>
          <cell r="L279" t="str">
            <v>FOB</v>
          </cell>
          <cell r="M279" t="str">
            <v>3520</v>
          </cell>
          <cell r="N279" t="str">
            <v>864425.00</v>
          </cell>
          <cell r="O279" t="str">
            <v>68612.28</v>
          </cell>
          <cell r="P279" t="str">
            <v>0.00</v>
          </cell>
          <cell r="Q279" t="str">
            <v>648978.97</v>
          </cell>
          <cell r="R279">
            <v>1699</v>
          </cell>
          <cell r="S279" t="str">
            <v>56320.00</v>
          </cell>
          <cell r="T279" t="str">
            <v>51,815,526</v>
          </cell>
          <cell r="U279" t="str">
            <v>1363</v>
          </cell>
          <cell r="V279" t="str">
            <v>39167.00</v>
          </cell>
          <cell r="W279">
            <v>36034423</v>
          </cell>
          <cell r="X279" t="str">
            <v>13148572-7</v>
          </cell>
          <cell r="Y279" t="str">
            <v>24-12-2025</v>
          </cell>
          <cell r="Z279" t="str">
            <v>SI</v>
          </cell>
          <cell r="AA279" t="str">
            <v>SI</v>
          </cell>
          <cell r="AB279" t="str">
            <v>22-07-2026</v>
          </cell>
          <cell r="AC279" t="str">
            <v>Sin Aprobar</v>
          </cell>
        </row>
        <row r="280">
          <cell r="A280">
            <v>173</v>
          </cell>
          <cell r="B280" t="str">
            <v>07-12-2025</v>
          </cell>
          <cell r="C280" t="str">
            <v>09-12-2025</v>
          </cell>
          <cell r="D280" t="str">
            <v>COSCO AMERICA</v>
          </cell>
          <cell r="E280" t="str">
            <v>MARITIMO</v>
          </cell>
          <cell r="F280" t="str">
            <v>FRUITJOY</v>
          </cell>
          <cell r="G280" t="str">
            <v>SHANGHAI HUI ZHAN INTERNATIONAL TRADE CO., LTD</v>
          </cell>
          <cell r="H280" t="str">
            <v>CEREZAS</v>
          </cell>
          <cell r="I280" t="str">
            <v>LAPINS / SKEENA /</v>
          </cell>
          <cell r="J280" t="str">
            <v>ALMAHUE EXPORT</v>
          </cell>
          <cell r="K280" t="str">
            <v>CONS-LIBRE</v>
          </cell>
          <cell r="L280" t="str">
            <v>FOB</v>
          </cell>
          <cell r="M280" t="str">
            <v>3520</v>
          </cell>
          <cell r="N280" t="str">
            <v>109214.05</v>
          </cell>
          <cell r="O280" t="str">
            <v>9603.89</v>
          </cell>
          <cell r="P280" t="str">
            <v>0.00</v>
          </cell>
          <cell r="Q280" t="str">
            <v>78854.33</v>
          </cell>
          <cell r="R280">
            <v>1718</v>
          </cell>
          <cell r="S280" t="str">
            <v>56320.00</v>
          </cell>
          <cell r="T280" t="str">
            <v>51,815,526</v>
          </cell>
          <cell r="U280" t="str">
            <v>1362</v>
          </cell>
          <cell r="V280" t="str">
            <v>22534.00</v>
          </cell>
          <cell r="W280">
            <v>20731731</v>
          </cell>
          <cell r="X280" t="str">
            <v>13148559-K</v>
          </cell>
          <cell r="Y280" t="str">
            <v>24-12-2025</v>
          </cell>
          <cell r="Z280" t="str">
            <v>SI</v>
          </cell>
          <cell r="AA280" t="str">
            <v>SI</v>
          </cell>
          <cell r="AB280" t="str">
            <v>22-07-2026</v>
          </cell>
          <cell r="AC280" t="str">
            <v>Sin Aprobar</v>
          </cell>
        </row>
        <row r="281">
          <cell r="A281">
            <v>172</v>
          </cell>
          <cell r="B281" t="str">
            <v>06-12-2025</v>
          </cell>
          <cell r="C281" t="str">
            <v>09-12-2025</v>
          </cell>
          <cell r="D281" t="str">
            <v>COSCO AMERICA</v>
          </cell>
          <cell r="E281" t="str">
            <v>MARITIMO</v>
          </cell>
          <cell r="F281" t="str">
            <v>YOGO</v>
          </cell>
          <cell r="G281" t="str">
            <v>CHENGDU RAILPORT EURASIA IMPORT AND EXPORT TRADE CO.,LTD.</v>
          </cell>
          <cell r="H281" t="str">
            <v>CEREZAS</v>
          </cell>
          <cell r="I281" t="str">
            <v>LAPINS / SKEENA /</v>
          </cell>
          <cell r="J281" t="str">
            <v>ALMAHUE EXPORT</v>
          </cell>
          <cell r="K281" t="str">
            <v>CONS-LIBRE</v>
          </cell>
          <cell r="L281" t="str">
            <v>FOB</v>
          </cell>
          <cell r="M281" t="str">
            <v>3544</v>
          </cell>
          <cell r="N281" t="str">
            <v>108472.50</v>
          </cell>
          <cell r="O281" t="str">
            <v>9599.80</v>
          </cell>
          <cell r="P281" t="str">
            <v>0.00</v>
          </cell>
          <cell r="Q281" t="str">
            <v>78236.02</v>
          </cell>
          <cell r="R281">
            <v>1698</v>
          </cell>
          <cell r="S281" t="str">
            <v>56704.00</v>
          </cell>
          <cell r="T281" t="str">
            <v>52,168,814</v>
          </cell>
          <cell r="U281" t="str">
            <v>1361</v>
          </cell>
          <cell r="V281" t="str">
            <v>21532.00</v>
          </cell>
          <cell r="W281">
            <v>19809871</v>
          </cell>
          <cell r="X281" t="str">
            <v>13148503-4</v>
          </cell>
          <cell r="Y281" t="str">
            <v>24-12-2025</v>
          </cell>
          <cell r="Z281" t="str">
            <v>SI</v>
          </cell>
          <cell r="AA281" t="str">
            <v>SI</v>
          </cell>
          <cell r="AB281" t="str">
            <v>22-07-2026</v>
          </cell>
          <cell r="AC281" t="str">
            <v>Sin Aprobar</v>
          </cell>
        </row>
        <row r="282">
          <cell r="A282">
            <v>171</v>
          </cell>
          <cell r="B282" t="str">
            <v>07-12-2025</v>
          </cell>
          <cell r="C282" t="str">
            <v>09-12-2025</v>
          </cell>
          <cell r="D282" t="str">
            <v>COSCO AMERICA</v>
          </cell>
          <cell r="E282" t="str">
            <v>MARITIMO</v>
          </cell>
          <cell r="F282" t="str">
            <v>SUNHOLA</v>
          </cell>
          <cell r="G282" t="str">
            <v>HUBEI SHOUHENG SUPPLY CHAIN MANAGEMENT CO. , LTD</v>
          </cell>
          <cell r="H282" t="str">
            <v>CEREZAS</v>
          </cell>
          <cell r="I282" t="str">
            <v>LAPINS /</v>
          </cell>
          <cell r="J282" t="str">
            <v>ALMAHUE EXPORT</v>
          </cell>
          <cell r="K282" t="str">
            <v>CONS-LIBRE</v>
          </cell>
          <cell r="L282" t="str">
            <v>FOB</v>
          </cell>
          <cell r="M282" t="str">
            <v>3552</v>
          </cell>
          <cell r="N282" t="str">
            <v>804120.00</v>
          </cell>
          <cell r="O282" t="str">
            <v>68818.43</v>
          </cell>
          <cell r="P282" t="str">
            <v>0.00</v>
          </cell>
          <cell r="Q282" t="str">
            <v>596296.57</v>
          </cell>
          <cell r="R282">
            <v>1717</v>
          </cell>
          <cell r="S282" t="str">
            <v>56832.00</v>
          </cell>
          <cell r="T282" t="str">
            <v>52,286,577</v>
          </cell>
          <cell r="U282" t="str">
            <v>1360</v>
          </cell>
          <cell r="V282" t="str">
            <v>30904.00</v>
          </cell>
          <cell r="W282">
            <v>28432298</v>
          </cell>
          <cell r="X282" t="str">
            <v>13148599-9</v>
          </cell>
          <cell r="Y282" t="str">
            <v>23-12-2025</v>
          </cell>
          <cell r="Z282" t="str">
            <v>SI</v>
          </cell>
          <cell r="AA282" t="str">
            <v>SI</v>
          </cell>
          <cell r="AB282" t="str">
            <v>21-07-2026</v>
          </cell>
          <cell r="AC282" t="str">
            <v>Sin Aprobar</v>
          </cell>
        </row>
        <row r="283">
          <cell r="A283">
            <v>170</v>
          </cell>
          <cell r="B283" t="str">
            <v>06-12-2025</v>
          </cell>
          <cell r="C283" t="str">
            <v>09-12-2025</v>
          </cell>
          <cell r="D283" t="str">
            <v>COSCO AMERICA</v>
          </cell>
          <cell r="E283" t="str">
            <v>MARITIMO</v>
          </cell>
          <cell r="F283" t="str">
            <v>CHEN SUN</v>
          </cell>
          <cell r="G283" t="str">
            <v>LUSHANG INTERNATIONAL TRADE CO., LTD.</v>
          </cell>
          <cell r="H283" t="str">
            <v>CEREZAS</v>
          </cell>
          <cell r="I283" t="str">
            <v>LAPINS /</v>
          </cell>
          <cell r="J283" t="str">
            <v>ALMAHUE EXPORT</v>
          </cell>
          <cell r="K283" t="str">
            <v>CONS-LIBRE</v>
          </cell>
          <cell r="L283" t="str">
            <v>FOB</v>
          </cell>
          <cell r="M283" t="str">
            <v>3560</v>
          </cell>
          <cell r="N283" t="str">
            <v>754290.83</v>
          </cell>
          <cell r="O283" t="str">
            <v>68512.00</v>
          </cell>
          <cell r="P283" t="str">
            <v>0.00</v>
          </cell>
          <cell r="Q283" t="str">
            <v>536296.57</v>
          </cell>
          <cell r="R283">
            <v>1715</v>
          </cell>
          <cell r="S283" t="str">
            <v>56960.00</v>
          </cell>
          <cell r="T283" t="str">
            <v>52,404,339</v>
          </cell>
          <cell r="U283" t="str">
            <v>1359</v>
          </cell>
          <cell r="V283" t="str">
            <v>21948.00</v>
          </cell>
          <cell r="W283">
            <v>20192599</v>
          </cell>
          <cell r="X283" t="str">
            <v>13147504-7</v>
          </cell>
          <cell r="Y283" t="str">
            <v>24-12-2025</v>
          </cell>
          <cell r="Z283" t="str">
            <v>SI</v>
          </cell>
          <cell r="AA283" t="str">
            <v>SI</v>
          </cell>
          <cell r="AB283" t="str">
            <v>22-07-2026</v>
          </cell>
          <cell r="AC283" t="str">
            <v>Sin Aprobar</v>
          </cell>
        </row>
        <row r="284">
          <cell r="A284">
            <v>169</v>
          </cell>
          <cell r="B284" t="str">
            <v>07-12-2025</v>
          </cell>
          <cell r="C284" t="str">
            <v>09-12-2025</v>
          </cell>
          <cell r="D284" t="str">
            <v>COSCO AMERICA</v>
          </cell>
          <cell r="E284" t="str">
            <v>MARITIMO</v>
          </cell>
          <cell r="F284" t="str">
            <v>AARTSEN</v>
          </cell>
          <cell r="G284" t="str">
            <v>AK FARM CO., LTD.</v>
          </cell>
          <cell r="H284" t="str">
            <v>CEREZAS</v>
          </cell>
          <cell r="I284" t="str">
            <v>LAPINS /</v>
          </cell>
          <cell r="J284" t="str">
            <v>ALMAHUE EXPORT</v>
          </cell>
          <cell r="K284" t="str">
            <v>CONS-LIBRE</v>
          </cell>
          <cell r="L284" t="str">
            <v>FOB</v>
          </cell>
          <cell r="M284" t="str">
            <v>3680</v>
          </cell>
          <cell r="N284" t="str">
            <v>108671.95</v>
          </cell>
          <cell r="O284" t="str">
            <v>9533.49</v>
          </cell>
          <cell r="P284" t="str">
            <v>0.00</v>
          </cell>
          <cell r="Q284" t="str">
            <v>85657.74</v>
          </cell>
          <cell r="R284">
            <v>1716</v>
          </cell>
          <cell r="S284" t="str">
            <v>58880.00</v>
          </cell>
          <cell r="T284" t="str">
            <v>54,170,778</v>
          </cell>
          <cell r="U284" t="str">
            <v>1358</v>
          </cell>
          <cell r="V284" t="str">
            <v>26778.00</v>
          </cell>
          <cell r="W284">
            <v>24636296</v>
          </cell>
          <cell r="X284" t="str">
            <v>13148596-4</v>
          </cell>
          <cell r="Y284" t="str">
            <v>27-12-2025</v>
          </cell>
          <cell r="Z284" t="str">
            <v>SI</v>
          </cell>
          <cell r="AA284" t="str">
            <v>SI</v>
          </cell>
          <cell r="AB284" t="str">
            <v>25-07-2026</v>
          </cell>
          <cell r="AC284" t="str">
            <v>Sin Aprobar</v>
          </cell>
        </row>
        <row r="285">
          <cell r="A285">
            <v>168</v>
          </cell>
          <cell r="B285" t="str">
            <v>06-12-2025</v>
          </cell>
          <cell r="C285" t="str">
            <v>09-12-2025</v>
          </cell>
          <cell r="D285" t="str">
            <v>COSCO AMERICA</v>
          </cell>
          <cell r="E285" t="str">
            <v>MARITIMO</v>
          </cell>
          <cell r="F285" t="str">
            <v>JWM ASIA</v>
          </cell>
          <cell r="G285" t="str">
            <v>JHARVEST INC.</v>
          </cell>
          <cell r="H285" t="str">
            <v>CEREZAS</v>
          </cell>
          <cell r="I285" t="str">
            <v>LAPINS /</v>
          </cell>
          <cell r="J285" t="str">
            <v>ALMAHUE EXPORT</v>
          </cell>
          <cell r="K285" t="str">
            <v>CONS-LIBRE</v>
          </cell>
          <cell r="L285" t="str">
            <v>FOB</v>
          </cell>
          <cell r="M285" t="str">
            <v>3680</v>
          </cell>
          <cell r="N285" t="str">
            <v>98421.60</v>
          </cell>
          <cell r="O285" t="str">
            <v>9531.20</v>
          </cell>
          <cell r="P285" t="str">
            <v>0.00</v>
          </cell>
          <cell r="Q285" t="str">
            <v>77072.76</v>
          </cell>
          <cell r="R285">
            <v>1697</v>
          </cell>
          <cell r="S285" t="str">
            <v>58880.00</v>
          </cell>
          <cell r="T285" t="str">
            <v>54,170,778</v>
          </cell>
          <cell r="U285" t="str">
            <v>1357</v>
          </cell>
          <cell r="V285" t="str">
            <v>18193.00</v>
          </cell>
          <cell r="W285">
            <v>16737924</v>
          </cell>
          <cell r="X285" t="str">
            <v>13147218-8</v>
          </cell>
          <cell r="Y285" t="str">
            <v>27-12-2025</v>
          </cell>
          <cell r="Z285" t="str">
            <v>SI</v>
          </cell>
          <cell r="AA285" t="str">
            <v>SI</v>
          </cell>
          <cell r="AB285" t="str">
            <v>25-07-2026</v>
          </cell>
          <cell r="AC285" t="str">
            <v>Sin Aprobar</v>
          </cell>
        </row>
        <row r="286">
          <cell r="A286">
            <v>167</v>
          </cell>
          <cell r="B286" t="str">
            <v>07-12-2025</v>
          </cell>
          <cell r="C286" t="str">
            <v>09-12-2025</v>
          </cell>
          <cell r="D286" t="str">
            <v>COSCO AMERICA</v>
          </cell>
          <cell r="E286" t="str">
            <v>MARITIMO</v>
          </cell>
          <cell r="F286" t="str">
            <v>PAGODA</v>
          </cell>
          <cell r="G286" t="str">
            <v>SHANGHAI HUI ZHAN INTERNATIONAL TRADE CO., LTD</v>
          </cell>
          <cell r="H286" t="str">
            <v>CEREZAS</v>
          </cell>
          <cell r="I286" t="str">
            <v>LAPINS /</v>
          </cell>
          <cell r="J286" t="str">
            <v>ALMAHUE EXPORT</v>
          </cell>
          <cell r="K286" t="str">
            <v>CONS-LIBRE</v>
          </cell>
          <cell r="L286" t="str">
            <v>FOB</v>
          </cell>
          <cell r="M286" t="str">
            <v>3520</v>
          </cell>
          <cell r="N286" t="str">
            <v>118199.64</v>
          </cell>
          <cell r="O286" t="str">
            <v>9772.02</v>
          </cell>
          <cell r="P286" t="str">
            <v>0.00</v>
          </cell>
          <cell r="Q286" t="str">
            <v>90207.80</v>
          </cell>
          <cell r="R286">
            <v>1696</v>
          </cell>
          <cell r="S286" t="str">
            <v>56320.00</v>
          </cell>
          <cell r="T286" t="str">
            <v>51,815,526</v>
          </cell>
          <cell r="U286" t="str">
            <v>1356</v>
          </cell>
          <cell r="V286" t="str">
            <v>33888.00</v>
          </cell>
          <cell r="W286">
            <v>31177638</v>
          </cell>
          <cell r="X286" t="str">
            <v>13148537-9</v>
          </cell>
          <cell r="Y286" t="str">
            <v>24-12-2025</v>
          </cell>
          <cell r="Z286" t="str">
            <v>SI</v>
          </cell>
          <cell r="AA286" t="str">
            <v>SI</v>
          </cell>
          <cell r="AB286" t="str">
            <v>22-07-2026</v>
          </cell>
          <cell r="AC286" t="str">
            <v>Sin Aprobar</v>
          </cell>
        </row>
        <row r="287">
          <cell r="A287">
            <v>166</v>
          </cell>
          <cell r="B287" t="str">
            <v>06-12-2025</v>
          </cell>
          <cell r="C287" t="str">
            <v>09-12-2025</v>
          </cell>
          <cell r="D287" t="str">
            <v>COSCO AMERICA</v>
          </cell>
          <cell r="E287" t="str">
            <v>MARITIMO</v>
          </cell>
          <cell r="F287" t="str">
            <v>KINGO</v>
          </cell>
          <cell r="G287" t="str">
            <v>KINGO SHANGHAI CO.,LTD.</v>
          </cell>
          <cell r="H287" t="str">
            <v>CEREZAS</v>
          </cell>
          <cell r="I287" t="str">
            <v>LAPINS / SANTINA /</v>
          </cell>
          <cell r="J287" t="str">
            <v>ALMAHUE EXPORT</v>
          </cell>
          <cell r="K287" t="str">
            <v>CONS-LIBRE</v>
          </cell>
          <cell r="L287" t="str">
            <v>FOB</v>
          </cell>
          <cell r="M287" t="str">
            <v>3552</v>
          </cell>
          <cell r="N287" t="str">
            <v>701995.81</v>
          </cell>
          <cell r="O287" t="str">
            <v>68327.02</v>
          </cell>
          <cell r="P287" t="str">
            <v>0.00</v>
          </cell>
          <cell r="Q287" t="str">
            <v>511557.99</v>
          </cell>
          <cell r="R287">
            <v>1695</v>
          </cell>
          <cell r="S287" t="str">
            <v>56832.00</v>
          </cell>
          <cell r="T287" t="str">
            <v>52,286,577</v>
          </cell>
          <cell r="U287" t="str">
            <v>1355</v>
          </cell>
          <cell r="V287" t="str">
            <v>18436.00</v>
          </cell>
          <cell r="W287">
            <v>16961489</v>
          </cell>
          <cell r="X287" t="str">
            <v>13147501-2</v>
          </cell>
          <cell r="Y287" t="str">
            <v>24-12-2025</v>
          </cell>
          <cell r="Z287" t="str">
            <v>SI</v>
          </cell>
          <cell r="AA287" t="str">
            <v>SI</v>
          </cell>
          <cell r="AB287" t="str">
            <v>22-07-2026</v>
          </cell>
          <cell r="AC287" t="str">
            <v>Sin Aprobar</v>
          </cell>
        </row>
        <row r="288">
          <cell r="A288">
            <v>165</v>
          </cell>
          <cell r="B288" t="str">
            <v>06-12-2025</v>
          </cell>
          <cell r="C288" t="str">
            <v>09-12-2025</v>
          </cell>
          <cell r="D288" t="str">
            <v>COSCO AMERICA</v>
          </cell>
          <cell r="E288" t="str">
            <v>MARITIMO</v>
          </cell>
          <cell r="F288" t="str">
            <v>YUERUN TRADING</v>
          </cell>
          <cell r="G288" t="str">
            <v>SHENZHEN FANYA XIANSHIHUI CO.,LTD</v>
          </cell>
          <cell r="H288" t="str">
            <v>CEREZAS</v>
          </cell>
          <cell r="I288" t="str">
            <v>LAPINS / SANTINA /</v>
          </cell>
          <cell r="J288" t="str">
            <v>ALMAHUE EXPORT</v>
          </cell>
          <cell r="K288" t="str">
            <v>CONS-LIBRE</v>
          </cell>
          <cell r="L288" t="str">
            <v>FOB</v>
          </cell>
          <cell r="M288" t="str">
            <v>3520</v>
          </cell>
          <cell r="N288" t="str">
            <v>889810.40</v>
          </cell>
          <cell r="O288" t="str">
            <v>68952.20</v>
          </cell>
          <cell r="P288" t="str">
            <v>0.00</v>
          </cell>
          <cell r="Q288" t="str">
            <v>687661.21</v>
          </cell>
          <cell r="R288">
            <v>1714</v>
          </cell>
          <cell r="S288" t="str">
            <v>56320.00</v>
          </cell>
          <cell r="T288" t="str">
            <v>51,815,526</v>
          </cell>
          <cell r="U288" t="str">
            <v>1354</v>
          </cell>
          <cell r="V288" t="str">
            <v>44859.00</v>
          </cell>
          <cell r="W288">
            <v>41271177</v>
          </cell>
          <cell r="X288" t="str">
            <v>13147498-9</v>
          </cell>
          <cell r="Y288" t="str">
            <v>26-12-2025</v>
          </cell>
          <cell r="Z288" t="str">
            <v>SI</v>
          </cell>
          <cell r="AA288" t="str">
            <v>SI</v>
          </cell>
          <cell r="AB288" t="str">
            <v>24-07-2026</v>
          </cell>
          <cell r="AC288" t="str">
            <v>Sin Aprobar</v>
          </cell>
        </row>
        <row r="289">
          <cell r="A289">
            <v>164</v>
          </cell>
          <cell r="B289" t="str">
            <v>06-12-2025</v>
          </cell>
          <cell r="C289" t="str">
            <v>09-12-2025</v>
          </cell>
          <cell r="D289" t="str">
            <v>COSCO AMERICA</v>
          </cell>
          <cell r="E289" t="str">
            <v>MARITIMO</v>
          </cell>
          <cell r="F289" t="str">
            <v>WUHAN CCMAX FRUITS CO., LTD</v>
          </cell>
          <cell r="G289" t="str">
            <v>OPTIMIZE INTEGRATION GROUP INC</v>
          </cell>
          <cell r="H289" t="str">
            <v>CEREZAS</v>
          </cell>
          <cell r="I289" t="str">
            <v>LAPINS /</v>
          </cell>
          <cell r="J289" t="str">
            <v>ALMAHUE EXPORT</v>
          </cell>
          <cell r="K289" t="str">
            <v>CONS-LIBRE</v>
          </cell>
          <cell r="L289" t="str">
            <v>FOB</v>
          </cell>
          <cell r="M289" t="str">
            <v>3520</v>
          </cell>
          <cell r="N289" t="str">
            <v>134233.26</v>
          </cell>
          <cell r="O289" t="str">
            <v>9851.50</v>
          </cell>
          <cell r="P289" t="str">
            <v>0.00</v>
          </cell>
          <cell r="Q289" t="str">
            <v>100896.77</v>
          </cell>
          <cell r="R289">
            <v>1713</v>
          </cell>
          <cell r="S289" t="str">
            <v>56320.00</v>
          </cell>
          <cell r="T289" t="str">
            <v>51,815,526</v>
          </cell>
          <cell r="U289" t="str">
            <v>1353</v>
          </cell>
          <cell r="V289" t="str">
            <v>44577.00</v>
          </cell>
          <cell r="W289">
            <v>41011732</v>
          </cell>
          <cell r="X289" t="str">
            <v>13147492-K</v>
          </cell>
          <cell r="Y289" t="str">
            <v>24-01-2026</v>
          </cell>
          <cell r="Z289" t="str">
            <v>SI</v>
          </cell>
          <cell r="AA289" t="str">
            <v>SI</v>
          </cell>
          <cell r="AB289" t="str">
            <v>22-08-2026</v>
          </cell>
          <cell r="AC289" t="str">
            <v>Sin Aprobar</v>
          </cell>
        </row>
        <row r="290">
          <cell r="A290">
            <v>163</v>
          </cell>
          <cell r="B290" t="str">
            <v>05-12-2025</v>
          </cell>
          <cell r="C290" t="str">
            <v>09-12-2025</v>
          </cell>
          <cell r="D290" t="str">
            <v>COSCO AMERICA</v>
          </cell>
          <cell r="E290" t="str">
            <v>MARITIMO</v>
          </cell>
          <cell r="F290" t="str">
            <v>SANGO</v>
          </cell>
          <cell r="G290" t="str">
            <v>ZHEJIANG OHENG IMPORT &amp; EXPORT CO.,LTD.</v>
          </cell>
          <cell r="H290" t="str">
            <v>CEREZAS</v>
          </cell>
          <cell r="I290" t="str">
            <v>LAPINS /</v>
          </cell>
          <cell r="J290" t="str">
            <v>ALMAHUE EXPORT</v>
          </cell>
          <cell r="K290" t="str">
            <v>CONS-LIBRE</v>
          </cell>
          <cell r="L290" t="str">
            <v>FOB</v>
          </cell>
          <cell r="M290" t="str">
            <v>3520</v>
          </cell>
          <cell r="N290" t="str">
            <v>928700.00</v>
          </cell>
          <cell r="O290" t="str">
            <v>68612.28</v>
          </cell>
          <cell r="P290" t="str">
            <v>0.00</v>
          </cell>
          <cell r="Q290" t="str">
            <v>714554.11</v>
          </cell>
          <cell r="R290">
            <v>1694</v>
          </cell>
          <cell r="S290" t="str">
            <v>56320.00</v>
          </cell>
          <cell r="T290" t="str">
            <v>51,815,526</v>
          </cell>
          <cell r="U290" t="str">
            <v>1352</v>
          </cell>
          <cell r="V290" t="str">
            <v>48816.00</v>
          </cell>
          <cell r="W290">
            <v>44911696</v>
          </cell>
          <cell r="X290" t="str">
            <v>13144835-K</v>
          </cell>
          <cell r="Y290" t="str">
            <v>24-12-2025</v>
          </cell>
          <cell r="Z290" t="str">
            <v>SI</v>
          </cell>
          <cell r="AA290" t="str">
            <v>SI</v>
          </cell>
          <cell r="AB290" t="str">
            <v>22-07-2026</v>
          </cell>
          <cell r="AC290" t="str">
            <v>Sin Aprobar</v>
          </cell>
        </row>
        <row r="291">
          <cell r="A291">
            <v>162</v>
          </cell>
          <cell r="B291" t="str">
            <v>05-12-2025</v>
          </cell>
          <cell r="C291" t="str">
            <v>09-12-2025</v>
          </cell>
          <cell r="D291" t="str">
            <v>COSCO AMERICA</v>
          </cell>
          <cell r="E291" t="str">
            <v>MARITIMO</v>
          </cell>
          <cell r="F291" t="str">
            <v>KINGO</v>
          </cell>
          <cell r="G291" t="str">
            <v>KINGO SHANGHAI CO.,LTD.</v>
          </cell>
          <cell r="H291" t="str">
            <v>CEREZAS</v>
          </cell>
          <cell r="I291" t="str">
            <v>BING / LAPINS / SANTINA /</v>
          </cell>
          <cell r="J291" t="str">
            <v>ALMAHUE EXPORT</v>
          </cell>
          <cell r="K291" t="str">
            <v>CONS-LIBRE</v>
          </cell>
          <cell r="L291" t="str">
            <v>FOB</v>
          </cell>
          <cell r="M291" t="str">
            <v>3536</v>
          </cell>
          <cell r="N291" t="str">
            <v>775610.17</v>
          </cell>
          <cell r="O291" t="str">
            <v>68327.03</v>
          </cell>
          <cell r="P291" t="str">
            <v>0.00</v>
          </cell>
          <cell r="Q291" t="str">
            <v>575052.45</v>
          </cell>
          <cell r="R291">
            <v>1693</v>
          </cell>
          <cell r="S291" t="str">
            <v>56576.00</v>
          </cell>
          <cell r="T291" t="str">
            <v>52,051,052</v>
          </cell>
          <cell r="U291" t="str">
            <v>1396</v>
          </cell>
          <cell r="V291" t="str">
            <v>28034.00</v>
          </cell>
          <cell r="W291">
            <v>25791841</v>
          </cell>
          <cell r="X291" t="str">
            <v>13144812-0</v>
          </cell>
          <cell r="Y291" t="str">
            <v>24-12-2025</v>
          </cell>
          <cell r="Z291" t="str">
            <v>SI</v>
          </cell>
          <cell r="AA291" t="str">
            <v>SI</v>
          </cell>
          <cell r="AB291" t="str">
            <v>22-07-2026</v>
          </cell>
          <cell r="AC291" t="str">
            <v>Sin Aprobar</v>
          </cell>
        </row>
        <row r="292">
          <cell r="A292">
            <v>161</v>
          </cell>
          <cell r="B292" t="str">
            <v>05-12-2025</v>
          </cell>
          <cell r="C292" t="str">
            <v>09-12-2025</v>
          </cell>
          <cell r="D292" t="str">
            <v>COSCO AMERICA</v>
          </cell>
          <cell r="E292" t="str">
            <v>MARITIMO</v>
          </cell>
          <cell r="F292" t="str">
            <v>FRUITJOY</v>
          </cell>
          <cell r="G292" t="str">
            <v>SHANGHAI HUI ZHAN INTERNATIONAL TRADE CO., LTD</v>
          </cell>
          <cell r="H292" t="str">
            <v>CEREZAS</v>
          </cell>
          <cell r="I292" t="str">
            <v>SANTINA /</v>
          </cell>
          <cell r="J292" t="str">
            <v>ALMAHUE EXPORT</v>
          </cell>
          <cell r="K292" t="str">
            <v>CONS-LIBRE</v>
          </cell>
          <cell r="L292" t="str">
            <v>FOB</v>
          </cell>
          <cell r="M292" t="str">
            <v>3520</v>
          </cell>
          <cell r="N292" t="str">
            <v>118072.93</v>
          </cell>
          <cell r="O292" t="str">
            <v>9532.49</v>
          </cell>
          <cell r="P292" t="str">
            <v>0.00</v>
          </cell>
          <cell r="Q292" t="str">
            <v>86263.79</v>
          </cell>
          <cell r="R292">
            <v>1712</v>
          </cell>
          <cell r="S292" t="str">
            <v>56320.00</v>
          </cell>
          <cell r="T292" t="str">
            <v>51,815,526</v>
          </cell>
          <cell r="U292" t="str">
            <v>1350</v>
          </cell>
          <cell r="V292" t="str">
            <v>29944.00</v>
          </cell>
          <cell r="W292">
            <v>27549079</v>
          </cell>
          <cell r="X292" t="str">
            <v>13144939-9</v>
          </cell>
          <cell r="Y292" t="str">
            <v>27-12-2025</v>
          </cell>
          <cell r="Z292" t="str">
            <v>SI</v>
          </cell>
          <cell r="AA292" t="str">
            <v>SI</v>
          </cell>
          <cell r="AB292" t="str">
            <v>25-07-2026</v>
          </cell>
          <cell r="AC292" t="str">
            <v>Sin Aprobar</v>
          </cell>
        </row>
        <row r="293">
          <cell r="A293">
            <v>160</v>
          </cell>
          <cell r="B293" t="str">
            <v>29-12-2025</v>
          </cell>
          <cell r="C293" t="str">
            <v>31-12-2025</v>
          </cell>
          <cell r="D293" t="str">
            <v>AUTUMN STREAM</v>
          </cell>
          <cell r="E293" t="str">
            <v>MARITIMO</v>
          </cell>
          <cell r="F293" t="str">
            <v>NORTH BAY</v>
          </cell>
          <cell r="G293" t="str">
            <v>NORTH BAY PRODUCE, INC</v>
          </cell>
          <cell r="H293" t="str">
            <v>CEREZAS</v>
          </cell>
          <cell r="I293" t="str">
            <v>LAPINS / SANTINA /</v>
          </cell>
          <cell r="J293" t="str">
            <v>ALMAHUE EXPORT</v>
          </cell>
          <cell r="K293" t="str">
            <v>CONS-LIBRE</v>
          </cell>
          <cell r="L293" t="str">
            <v>FOB</v>
          </cell>
          <cell r="M293" t="str">
            <v>3360</v>
          </cell>
          <cell r="N293" t="str">
            <v>91700.78</v>
          </cell>
          <cell r="O293" t="str">
            <v>9152.74</v>
          </cell>
          <cell r="P293" t="str">
            <v>0.00</v>
          </cell>
          <cell r="Q293" t="str">
            <v>61736.95</v>
          </cell>
          <cell r="R293">
            <v>1878</v>
          </cell>
          <cell r="S293" t="str">
            <v>33600.00</v>
          </cell>
          <cell r="T293" t="str">
            <v>30,615,648</v>
          </cell>
          <cell r="U293" t="str">
            <v>1349</v>
          </cell>
          <cell r="V293" t="str">
            <v>28137.00</v>
          </cell>
          <cell r="W293">
            <v>25637872</v>
          </cell>
          <cell r="X293" t="str">
            <v>13197636-4</v>
          </cell>
          <cell r="Y293" t="str">
            <v>09-01-2026</v>
          </cell>
          <cell r="Z293" t="str">
            <v>SI</v>
          </cell>
          <cell r="AA293" t="str">
            <v>SI</v>
          </cell>
          <cell r="AB293" t="str">
            <v>07-08-2026</v>
          </cell>
          <cell r="AC293" t="str">
            <v>Sin Aprobar</v>
          </cell>
        </row>
        <row r="294">
          <cell r="A294">
            <v>159</v>
          </cell>
          <cell r="B294" t="str">
            <v>04-12-2025</v>
          </cell>
          <cell r="C294" t="str">
            <v>06-12-2025</v>
          </cell>
          <cell r="D294" t="str">
            <v>MSC FREEPORT</v>
          </cell>
          <cell r="E294" t="str">
            <v>MARITIMO</v>
          </cell>
          <cell r="F294" t="str">
            <v>ZEGOO</v>
          </cell>
          <cell r="G294" t="str">
            <v>ZHEJIANG OHENG IMPORT &amp; EXPORT CO., LTD.</v>
          </cell>
          <cell r="H294" t="str">
            <v>CEREZAS</v>
          </cell>
          <cell r="I294" t="str">
            <v>LAPINS /</v>
          </cell>
          <cell r="J294" t="str">
            <v>ALMAHUE EXPORT</v>
          </cell>
          <cell r="K294" t="str">
            <v>CONS-LIBRE</v>
          </cell>
          <cell r="L294" t="str">
            <v>FOB</v>
          </cell>
          <cell r="M294" t="str">
            <v>3520</v>
          </cell>
          <cell r="N294" t="str">
            <v>861690.00</v>
          </cell>
          <cell r="O294" t="str">
            <v>70462.86</v>
          </cell>
          <cell r="P294" t="str">
            <v>0.00</v>
          </cell>
          <cell r="Q294" t="str">
            <v>658389.37</v>
          </cell>
          <cell r="R294">
            <v>1682</v>
          </cell>
          <cell r="S294" t="str">
            <v>56320.00</v>
          </cell>
          <cell r="T294" t="str">
            <v>51,710,208</v>
          </cell>
          <cell r="U294" t="str">
            <v>1348</v>
          </cell>
          <cell r="V294" t="str">
            <v>40552.00</v>
          </cell>
          <cell r="W294">
            <v>37232819</v>
          </cell>
          <cell r="X294" t="str">
            <v>13140142-6</v>
          </cell>
          <cell r="Y294" t="str">
            <v>23-12-2025</v>
          </cell>
          <cell r="Z294" t="str">
            <v>SI</v>
          </cell>
          <cell r="AA294" t="str">
            <v>SI</v>
          </cell>
          <cell r="AB294" t="str">
            <v>21-07-2026</v>
          </cell>
          <cell r="AC294" t="str">
            <v>Sin Aprobar</v>
          </cell>
        </row>
        <row r="295">
          <cell r="A295">
            <v>158</v>
          </cell>
          <cell r="B295" t="str">
            <v>03-12-2025</v>
          </cell>
          <cell r="C295" t="str">
            <v>06-12-2025</v>
          </cell>
          <cell r="D295" t="str">
            <v>MSC FREEPORT</v>
          </cell>
          <cell r="E295" t="str">
            <v>MARITIMO</v>
          </cell>
          <cell r="F295" t="str">
            <v>SUNHOLA</v>
          </cell>
          <cell r="G295" t="str">
            <v>HUBEI SHOUHENG SUPPLY CHAIN MANAGEMENT CO. , LTD</v>
          </cell>
          <cell r="H295" t="str">
            <v>CEREZAS</v>
          </cell>
          <cell r="I295" t="str">
            <v>LAPINS / SANTINA /</v>
          </cell>
          <cell r="J295" t="str">
            <v>ALMAHUE EXPORT</v>
          </cell>
          <cell r="K295" t="str">
            <v>CONS-LIBRE</v>
          </cell>
          <cell r="L295" t="str">
            <v>FOB</v>
          </cell>
          <cell r="M295" t="str">
            <v>3536</v>
          </cell>
          <cell r="N295" t="str">
            <v>781290.51</v>
          </cell>
          <cell r="O295" t="str">
            <v>70603.33</v>
          </cell>
          <cell r="P295" t="str">
            <v>0.00</v>
          </cell>
          <cell r="Q295" t="str">
            <v>567318.65</v>
          </cell>
          <cell r="R295">
            <v>1710</v>
          </cell>
          <cell r="S295" t="str">
            <v>56576.00</v>
          </cell>
          <cell r="T295" t="str">
            <v>51,945,254</v>
          </cell>
          <cell r="U295" t="str">
            <v>1347</v>
          </cell>
          <cell r="V295" t="str">
            <v>26896.00</v>
          </cell>
          <cell r="W295">
            <v>24694562</v>
          </cell>
          <cell r="X295" t="str">
            <v>13136611-6</v>
          </cell>
          <cell r="Y295" t="str">
            <v>23-12-2025</v>
          </cell>
          <cell r="Z295" t="str">
            <v>SI</v>
          </cell>
          <cell r="AA295" t="str">
            <v>SI</v>
          </cell>
          <cell r="AB295" t="str">
            <v>21-07-2026</v>
          </cell>
          <cell r="AC295" t="str">
            <v>Sin Aprobar</v>
          </cell>
        </row>
        <row r="296">
          <cell r="A296">
            <v>157</v>
          </cell>
          <cell r="B296" t="str">
            <v>04-12-2025</v>
          </cell>
          <cell r="C296" t="str">
            <v>06-12-2025</v>
          </cell>
          <cell r="D296" t="str">
            <v>MSC FREEPORT</v>
          </cell>
          <cell r="E296" t="str">
            <v>MARITIMO</v>
          </cell>
          <cell r="F296" t="str">
            <v>CHEN SUN</v>
          </cell>
          <cell r="G296" t="str">
            <v>LUSHANG INTERNATIONAL TRADE CO., LTD.</v>
          </cell>
          <cell r="H296" t="str">
            <v>CEREZAS</v>
          </cell>
          <cell r="I296" t="str">
            <v>LAPINS / SANTINA /</v>
          </cell>
          <cell r="J296" t="str">
            <v>ALMAHUE EXPORT</v>
          </cell>
          <cell r="K296" t="str">
            <v>CONS-LIBRE</v>
          </cell>
          <cell r="L296" t="str">
            <v>FOB</v>
          </cell>
          <cell r="M296" t="str">
            <v>3520</v>
          </cell>
          <cell r="N296" t="str">
            <v>725680.00</v>
          </cell>
          <cell r="O296" t="str">
            <v>70363.00</v>
          </cell>
          <cell r="P296" t="str">
            <v>0.00</v>
          </cell>
          <cell r="Q296" t="str">
            <v>515837.40</v>
          </cell>
          <cell r="R296">
            <v>1711</v>
          </cell>
          <cell r="S296" t="str">
            <v>56320.00</v>
          </cell>
          <cell r="T296" t="str">
            <v>51,710,208</v>
          </cell>
          <cell r="U296" t="str">
            <v>1346</v>
          </cell>
          <cell r="V296" t="str">
            <v>19578.00</v>
          </cell>
          <cell r="W296">
            <v>17975541</v>
          </cell>
          <cell r="X296" t="str">
            <v>13140163-9</v>
          </cell>
          <cell r="Y296" t="str">
            <v>24-12-2025</v>
          </cell>
          <cell r="Z296" t="str">
            <v>SI</v>
          </cell>
          <cell r="AA296" t="str">
            <v>SI</v>
          </cell>
          <cell r="AB296" t="str">
            <v>22-07-2026</v>
          </cell>
          <cell r="AC296" t="str">
            <v>Sin Aprobar</v>
          </cell>
        </row>
        <row r="297">
          <cell r="A297">
            <v>156</v>
          </cell>
          <cell r="B297" t="str">
            <v>04-12-2025</v>
          </cell>
          <cell r="C297" t="str">
            <v>06-12-2025</v>
          </cell>
          <cell r="D297" t="str">
            <v>MSC FREEPORT</v>
          </cell>
          <cell r="E297" t="str">
            <v>MARITIMO</v>
          </cell>
          <cell r="F297" t="str">
            <v>FRUITJOY</v>
          </cell>
          <cell r="G297" t="str">
            <v>SHANGHAI HUI ZHAN INTERNATIONAL TRADE CO., LTD</v>
          </cell>
          <cell r="H297" t="str">
            <v>CEREZAS</v>
          </cell>
          <cell r="I297" t="str">
            <v>LAPINS /</v>
          </cell>
          <cell r="J297" t="str">
            <v>ALMAHUE EXPORT</v>
          </cell>
          <cell r="K297" t="str">
            <v>CONS-LIBRE</v>
          </cell>
          <cell r="L297" t="str">
            <v>FOB</v>
          </cell>
          <cell r="M297" t="str">
            <v>3520</v>
          </cell>
          <cell r="N297" t="str">
            <v>110570.01</v>
          </cell>
          <cell r="O297" t="str">
            <v>9811.24</v>
          </cell>
          <cell r="P297" t="str">
            <v>0.00</v>
          </cell>
          <cell r="Q297" t="str">
            <v>79806.57</v>
          </cell>
          <cell r="R297">
            <v>1709</v>
          </cell>
          <cell r="S297" t="str">
            <v>56320.00</v>
          </cell>
          <cell r="T297" t="str">
            <v>51,710,208</v>
          </cell>
          <cell r="U297" t="str">
            <v>1345</v>
          </cell>
          <cell r="V297" t="str">
            <v>23487.00</v>
          </cell>
          <cell r="W297">
            <v>21564589</v>
          </cell>
          <cell r="X297" t="str">
            <v>13140184-1</v>
          </cell>
          <cell r="Y297" t="str">
            <v>23-12-2025</v>
          </cell>
          <cell r="Z297" t="str">
            <v>SI</v>
          </cell>
          <cell r="AA297" t="str">
            <v>SI</v>
          </cell>
          <cell r="AB297" t="str">
            <v>21-07-2026</v>
          </cell>
          <cell r="AC297" t="str">
            <v>Sin Aprobar</v>
          </cell>
        </row>
        <row r="298">
          <cell r="A298">
            <v>155</v>
          </cell>
          <cell r="B298" t="str">
            <v>09-12-2025</v>
          </cell>
          <cell r="C298" t="str">
            <v>11-12-2025</v>
          </cell>
          <cell r="D298" t="str">
            <v>MAERSK SKARSTIND</v>
          </cell>
          <cell r="E298" t="str">
            <v>MARITIMO</v>
          </cell>
          <cell r="F298" t="str">
            <v>YOGO</v>
          </cell>
          <cell r="G298" t="str">
            <v>CHENGDU RAILPORT EURASIA IMPORT AND EXPORT TRADE CO.,LTD.</v>
          </cell>
          <cell r="H298" t="str">
            <v>CEREZAS</v>
          </cell>
          <cell r="I298" t="str">
            <v>LAPINS /</v>
          </cell>
          <cell r="J298" t="str">
            <v>ALMAHUE EXPORT</v>
          </cell>
          <cell r="K298" t="str">
            <v>CONS-LIBRE</v>
          </cell>
          <cell r="L298" t="str">
            <v>FOB</v>
          </cell>
          <cell r="M298" t="str">
            <v>3520</v>
          </cell>
          <cell r="N298" t="str">
            <v>106983.36</v>
          </cell>
          <cell r="O298" t="str">
            <v>10329.37</v>
          </cell>
          <cell r="P298" t="str">
            <v>0.00</v>
          </cell>
          <cell r="Q298" t="str">
            <v>73705.90</v>
          </cell>
          <cell r="R298">
            <v>1721</v>
          </cell>
          <cell r="S298" t="str">
            <v>56320.00</v>
          </cell>
          <cell r="T298" t="str">
            <v>52,039,117</v>
          </cell>
          <cell r="U298" t="str">
            <v>1344</v>
          </cell>
          <cell r="V298" t="str">
            <v>17386.00</v>
          </cell>
          <cell r="W298">
            <v>16064490</v>
          </cell>
          <cell r="X298" t="str">
            <v>13149918-3</v>
          </cell>
          <cell r="Y298" t="str">
            <v>23-12-2025</v>
          </cell>
          <cell r="Z298" t="str">
            <v>SI</v>
          </cell>
          <cell r="AA298" t="str">
            <v>SI</v>
          </cell>
          <cell r="AB298" t="str">
            <v>21-07-2026</v>
          </cell>
          <cell r="AC298" t="str">
            <v>Sin Aprobar</v>
          </cell>
        </row>
        <row r="299">
          <cell r="A299">
            <v>154</v>
          </cell>
          <cell r="B299" t="str">
            <v>04-12-2025</v>
          </cell>
          <cell r="C299" t="str">
            <v>06-12-2025</v>
          </cell>
          <cell r="D299" t="str">
            <v>RIO DE JANEIRO EXPRESS</v>
          </cell>
          <cell r="E299" t="str">
            <v>MARITIMO</v>
          </cell>
          <cell r="F299" t="str">
            <v>HING LEE</v>
          </cell>
          <cell r="G299" t="str">
            <v>SHENZHEN JINSHUN'AN INTERNATIONAL FREIGHT FORWARDING CO.,LTD</v>
          </cell>
          <cell r="H299" t="str">
            <v>CEREZAS</v>
          </cell>
          <cell r="I299" t="str">
            <v>BING / LAPINS / SANTINA /</v>
          </cell>
          <cell r="J299" t="str">
            <v>ALMAHUE EXPORT</v>
          </cell>
          <cell r="K299" t="str">
            <v>CONS-LIBRE</v>
          </cell>
          <cell r="L299" t="str">
            <v>FOB</v>
          </cell>
          <cell r="M299" t="str">
            <v>3616</v>
          </cell>
          <cell r="N299" t="str">
            <v>88330.35</v>
          </cell>
          <cell r="O299" t="str">
            <v>10472.40</v>
          </cell>
          <cell r="P299" t="str">
            <v>0.00</v>
          </cell>
          <cell r="Q299" t="str">
            <v>57659.83</v>
          </cell>
          <cell r="R299">
            <v>1708</v>
          </cell>
          <cell r="S299" t="str">
            <v>57856.00</v>
          </cell>
          <cell r="T299" t="str">
            <v>53,120,486</v>
          </cell>
          <cell r="U299" t="str">
            <v>505</v>
          </cell>
          <cell r="V299" t="str">
            <v>196.00</v>
          </cell>
          <cell r="W299">
            <v>179957</v>
          </cell>
          <cell r="X299" t="str">
            <v>13140951-6</v>
          </cell>
          <cell r="Y299" t="str">
            <v>17-12-2025</v>
          </cell>
          <cell r="Z299" t="str">
            <v>SI</v>
          </cell>
          <cell r="AA299" t="str">
            <v>SI</v>
          </cell>
          <cell r="AB299" t="str">
            <v>15-07-2026</v>
          </cell>
          <cell r="AC299" t="str">
            <v>Sin Aprobar</v>
          </cell>
        </row>
        <row r="300">
          <cell r="A300">
            <v>153</v>
          </cell>
          <cell r="B300" t="str">
            <v>04-12-2025</v>
          </cell>
          <cell r="C300" t="str">
            <v>06-12-2025</v>
          </cell>
          <cell r="D300" t="str">
            <v>RIO DE JANEIRO EXPRESS</v>
          </cell>
          <cell r="E300" t="str">
            <v>MARITIMO</v>
          </cell>
          <cell r="F300" t="str">
            <v>KINGO</v>
          </cell>
          <cell r="G300" t="str">
            <v>SHENZHEN FANYA XIANSHIHUI CO.,LTD</v>
          </cell>
          <cell r="H300" t="str">
            <v>CEREZAS</v>
          </cell>
          <cell r="I300" t="str">
            <v>SANTINA /</v>
          </cell>
          <cell r="J300" t="str">
            <v>ALMAHUE EXPORT</v>
          </cell>
          <cell r="K300" t="str">
            <v>CONS-LIBRE</v>
          </cell>
          <cell r="L300" t="str">
            <v>FOB</v>
          </cell>
          <cell r="M300" t="str">
            <v>3520</v>
          </cell>
          <cell r="N300" t="str">
            <v>730752.70</v>
          </cell>
          <cell r="O300" t="str">
            <v>71033.87</v>
          </cell>
          <cell r="P300" t="str">
            <v>0.00</v>
          </cell>
          <cell r="Q300" t="str">
            <v>523004.24</v>
          </cell>
          <cell r="R300">
            <v>1691</v>
          </cell>
          <cell r="S300" t="str">
            <v>56320.00</v>
          </cell>
          <cell r="T300" t="str">
            <v>51,710,208</v>
          </cell>
          <cell r="U300" t="str">
            <v>1342</v>
          </cell>
          <cell r="V300" t="str">
            <v>20231.00</v>
          </cell>
          <cell r="W300">
            <v>18575093</v>
          </cell>
          <cell r="X300" t="str">
            <v>13140096-9</v>
          </cell>
          <cell r="Y300" t="str">
            <v>17-12-2025</v>
          </cell>
          <cell r="Z300" t="str">
            <v>SI</v>
          </cell>
          <cell r="AA300" t="str">
            <v>SI</v>
          </cell>
          <cell r="AB300" t="str">
            <v>15-07-2026</v>
          </cell>
          <cell r="AC300" t="str">
            <v>Sin Aprobar</v>
          </cell>
        </row>
        <row r="301">
          <cell r="A301">
            <v>152</v>
          </cell>
          <cell r="B301" t="str">
            <v>05-12-2025</v>
          </cell>
          <cell r="C301" t="str">
            <v>09-12-2025</v>
          </cell>
          <cell r="D301" t="str">
            <v>COSCO AMERICA</v>
          </cell>
          <cell r="E301" t="str">
            <v>MARITIMO</v>
          </cell>
          <cell r="F301" t="str">
            <v>YOGO</v>
          </cell>
          <cell r="G301" t="str">
            <v>CHENGDU RAILPORT EURASIA IMPORT AND EXPORT TRADE CO.,LTD.</v>
          </cell>
          <cell r="H301" t="str">
            <v>CEREZAS</v>
          </cell>
          <cell r="I301" t="str">
            <v>LAPINS / SKEENA /</v>
          </cell>
          <cell r="J301" t="str">
            <v>ALMAHUE EXPORT</v>
          </cell>
          <cell r="K301" t="str">
            <v>CONS-LIBRE</v>
          </cell>
          <cell r="L301" t="str">
            <v>FOB</v>
          </cell>
          <cell r="M301" t="str">
            <v>3520</v>
          </cell>
          <cell r="N301" t="str">
            <v>123269.86</v>
          </cell>
          <cell r="O301" t="str">
            <v>9157.38</v>
          </cell>
          <cell r="P301" t="str">
            <v>0.00</v>
          </cell>
          <cell r="Q301" t="str">
            <v>91773.91</v>
          </cell>
          <cell r="R301">
            <v>1692</v>
          </cell>
          <cell r="S301" t="str">
            <v>56320.00</v>
          </cell>
          <cell r="T301" t="str">
            <v>51,815,526</v>
          </cell>
          <cell r="U301" t="str">
            <v>1343</v>
          </cell>
          <cell r="V301" t="str">
            <v>35453.91</v>
          </cell>
          <cell r="W301">
            <v>32618306</v>
          </cell>
          <cell r="X301" t="str">
            <v>13144098-7</v>
          </cell>
          <cell r="Y301" t="str">
            <v>24-12-2025</v>
          </cell>
          <cell r="Z301" t="str">
            <v>SI</v>
          </cell>
          <cell r="AA301" t="str">
            <v>SI</v>
          </cell>
          <cell r="AB301" t="str">
            <v>22-07-2026</v>
          </cell>
          <cell r="AC301" t="str">
            <v>Sin Aprobar</v>
          </cell>
        </row>
        <row r="302">
          <cell r="A302">
            <v>151</v>
          </cell>
          <cell r="B302" t="str">
            <v>04-12-2025</v>
          </cell>
          <cell r="C302" t="str">
            <v>06-12-2025</v>
          </cell>
          <cell r="D302" t="str">
            <v>RIO DE JANEIRO EXPRESS</v>
          </cell>
          <cell r="E302" t="str">
            <v>MARITIMO</v>
          </cell>
          <cell r="F302" t="str">
            <v>HING LEE</v>
          </cell>
          <cell r="G302" t="str">
            <v>SHENZHEN JINSHUN'AN INTERNATIONAL FREIGHT FORWARDING CO.,LTD</v>
          </cell>
          <cell r="H302" t="str">
            <v>CEREZAS</v>
          </cell>
          <cell r="I302" t="str">
            <v>BING / SANTINA /</v>
          </cell>
          <cell r="J302" t="str">
            <v>ALMAHUE EXPORT</v>
          </cell>
          <cell r="K302" t="str">
            <v>CONS-LIBRE</v>
          </cell>
          <cell r="L302" t="str">
            <v>FOB</v>
          </cell>
          <cell r="M302" t="str">
            <v>3520</v>
          </cell>
          <cell r="N302" t="str">
            <v>106793.07</v>
          </cell>
          <cell r="O302" t="str">
            <v>10472.40</v>
          </cell>
          <cell r="P302" t="str">
            <v>0.00</v>
          </cell>
          <cell r="Q302" t="str">
            <v>73973.12</v>
          </cell>
          <cell r="R302">
            <v>1707</v>
          </cell>
          <cell r="S302" t="str">
            <v>56320.00</v>
          </cell>
          <cell r="T302" t="str">
            <v>51,710,208</v>
          </cell>
          <cell r="U302" t="str">
            <v>1341</v>
          </cell>
          <cell r="V302" t="str">
            <v>17653.00</v>
          </cell>
          <cell r="W302">
            <v>16208102</v>
          </cell>
          <cell r="X302" t="str">
            <v>13140086-1</v>
          </cell>
          <cell r="Y302" t="str">
            <v>17-12-2025</v>
          </cell>
          <cell r="Z302" t="str">
            <v>SI</v>
          </cell>
          <cell r="AA302" t="str">
            <v>SI</v>
          </cell>
          <cell r="AB302" t="str">
            <v>15-07-2026</v>
          </cell>
          <cell r="AC302" t="str">
            <v>Sin Aprobar</v>
          </cell>
        </row>
        <row r="303">
          <cell r="A303">
            <v>150</v>
          </cell>
          <cell r="B303" t="str">
            <v>04-12-2025</v>
          </cell>
          <cell r="C303" t="str">
            <v>06-12-2025</v>
          </cell>
          <cell r="D303" t="str">
            <v>RIO DE JANEIRO EXPRESS</v>
          </cell>
          <cell r="E303" t="str">
            <v>MARITIMO</v>
          </cell>
          <cell r="F303" t="str">
            <v>XINGWAN</v>
          </cell>
          <cell r="G303" t="str">
            <v>SHENZHEN OHENG IMPORT &amp; EXPORT CO.,LTD.</v>
          </cell>
          <cell r="H303" t="str">
            <v>CEREZAS</v>
          </cell>
          <cell r="I303" t="str">
            <v>BING / LAPINS / SANTINA /</v>
          </cell>
          <cell r="J303" t="str">
            <v>ALMAHUE EXPORT</v>
          </cell>
          <cell r="K303" t="str">
            <v>CONS-LIBRE</v>
          </cell>
          <cell r="L303" t="str">
            <v>FOB</v>
          </cell>
          <cell r="M303" t="str">
            <v>3520</v>
          </cell>
          <cell r="N303" t="str">
            <v>807410.00</v>
          </cell>
          <cell r="O303" t="str">
            <v>72134.63</v>
          </cell>
          <cell r="P303" t="str">
            <v>0.00</v>
          </cell>
          <cell r="Q303" t="str">
            <v>576696.82</v>
          </cell>
          <cell r="R303">
            <v>1690</v>
          </cell>
          <cell r="S303" t="str">
            <v>56320.00</v>
          </cell>
          <cell r="T303" t="str">
            <v>51,710,208</v>
          </cell>
          <cell r="U303" t="str">
            <v>1339</v>
          </cell>
          <cell r="V303" t="str">
            <v>28090.00</v>
          </cell>
          <cell r="W303">
            <v>25790834</v>
          </cell>
          <cell r="X303" t="str">
            <v>13140028-4</v>
          </cell>
          <cell r="Y303" t="str">
            <v>17-12-2025</v>
          </cell>
          <cell r="Z303" t="str">
            <v>SI</v>
          </cell>
          <cell r="AA303" t="str">
            <v>SI</v>
          </cell>
          <cell r="AB303" t="str">
            <v>15-07-2026</v>
          </cell>
          <cell r="AC303" t="str">
            <v>Sin Aprobar</v>
          </cell>
        </row>
        <row r="304">
          <cell r="A304">
            <v>149</v>
          </cell>
          <cell r="B304" t="str">
            <v>03-12-2025</v>
          </cell>
          <cell r="C304" t="str">
            <v>06-12-2025</v>
          </cell>
          <cell r="D304" t="str">
            <v>RIO DE JANEIRO EXPRESS</v>
          </cell>
          <cell r="E304" t="str">
            <v>MARITIMO</v>
          </cell>
          <cell r="F304" t="str">
            <v>JWM ASIA</v>
          </cell>
          <cell r="G304" t="str">
            <v>GREEN GARDEN FRESH CO., LTD</v>
          </cell>
          <cell r="H304" t="str">
            <v>CEREZAS</v>
          </cell>
          <cell r="I304" t="str">
            <v>SANTINA /</v>
          </cell>
          <cell r="J304" t="str">
            <v>ALMAHUE EXPORT</v>
          </cell>
          <cell r="K304" t="str">
            <v>CONS-LIBRE</v>
          </cell>
          <cell r="L304" t="str">
            <v>FOB</v>
          </cell>
          <cell r="M304" t="str">
            <v>3520</v>
          </cell>
          <cell r="N304" t="str">
            <v>107686.43</v>
          </cell>
          <cell r="O304" t="str">
            <v>9922.16</v>
          </cell>
          <cell r="P304" t="str">
            <v>0.00</v>
          </cell>
          <cell r="Q304" t="str">
            <v>67410.37</v>
          </cell>
          <cell r="R304">
            <v>1689</v>
          </cell>
          <cell r="S304" t="str">
            <v>56320.00</v>
          </cell>
          <cell r="T304" t="str">
            <v>51,710,208</v>
          </cell>
          <cell r="U304" t="str">
            <v>1338</v>
          </cell>
          <cell r="V304" t="str">
            <v>11090.00</v>
          </cell>
          <cell r="W304">
            <v>10182284</v>
          </cell>
          <cell r="X304" t="str">
            <v>13136042-8</v>
          </cell>
          <cell r="Y304" t="str">
            <v>19-12-2025</v>
          </cell>
          <cell r="Z304" t="str">
            <v>SI</v>
          </cell>
          <cell r="AA304" t="str">
            <v>SI</v>
          </cell>
          <cell r="AB304" t="str">
            <v>17-07-2026</v>
          </cell>
          <cell r="AC304" t="str">
            <v>Sin Aprobar</v>
          </cell>
        </row>
        <row r="305">
          <cell r="A305">
            <v>148</v>
          </cell>
          <cell r="B305" t="str">
            <v>04-12-2025</v>
          </cell>
          <cell r="C305" t="str">
            <v>06-12-2025</v>
          </cell>
          <cell r="D305" t="str">
            <v>RIO DE JANEIRO EXPRESS</v>
          </cell>
          <cell r="E305" t="str">
            <v>MARITIMO</v>
          </cell>
          <cell r="F305" t="str">
            <v>JINSHENG</v>
          </cell>
          <cell r="G305" t="str">
            <v>CHUN WAN YI (GUANGZHOU) SUPPLY CHAIN MANAGEMENT CO., LTD</v>
          </cell>
          <cell r="H305" t="str">
            <v>CEREZAS</v>
          </cell>
          <cell r="I305" t="str">
            <v>LAPINS / SANTINA /</v>
          </cell>
          <cell r="J305" t="str">
            <v>ALMAHUE EXPORT</v>
          </cell>
          <cell r="K305" t="str">
            <v>CONS-LIBRE</v>
          </cell>
          <cell r="L305" t="str">
            <v>FOB</v>
          </cell>
          <cell r="M305" t="str">
            <v>3520</v>
          </cell>
          <cell r="N305" t="str">
            <v>108404.07</v>
          </cell>
          <cell r="O305" t="str">
            <v>10630.99</v>
          </cell>
          <cell r="P305" t="str">
            <v>0.00</v>
          </cell>
          <cell r="Q305" t="str">
            <v>75284.33</v>
          </cell>
          <cell r="R305">
            <v>1688</v>
          </cell>
          <cell r="S305" t="str">
            <v>56320.00</v>
          </cell>
          <cell r="T305" t="str">
            <v>51,710,208</v>
          </cell>
          <cell r="U305" t="str">
            <v>1337</v>
          </cell>
          <cell r="V305" t="str">
            <v>18964.00</v>
          </cell>
          <cell r="W305">
            <v>17411797</v>
          </cell>
          <cell r="X305" t="str">
            <v>13139973-1</v>
          </cell>
          <cell r="Y305" t="str">
            <v>17-12-2025</v>
          </cell>
          <cell r="Z305" t="str">
            <v>SI</v>
          </cell>
          <cell r="AA305" t="str">
            <v>SI</v>
          </cell>
          <cell r="AB305" t="str">
            <v>15-07-2026</v>
          </cell>
          <cell r="AC305" t="str">
            <v>Sin Aprobar</v>
          </cell>
        </row>
        <row r="306">
          <cell r="A306">
            <v>147</v>
          </cell>
          <cell r="B306" t="str">
            <v>03-12-2025</v>
          </cell>
          <cell r="C306" t="str">
            <v>06-12-2025</v>
          </cell>
          <cell r="D306" t="str">
            <v>RIO DE JANEIRO EXPRESS</v>
          </cell>
          <cell r="E306" t="str">
            <v>MARITIMO</v>
          </cell>
          <cell r="F306" t="str">
            <v>AARTSEN</v>
          </cell>
          <cell r="G306" t="str">
            <v>SHENZHEN OHENG IMPORT &amp; EXPORT CO., LTD</v>
          </cell>
          <cell r="H306" t="str">
            <v>CEREZAS</v>
          </cell>
          <cell r="I306" t="str">
            <v>SANTINA /</v>
          </cell>
          <cell r="J306" t="str">
            <v>ALMAHUE EXPORT</v>
          </cell>
          <cell r="K306" t="str">
            <v>CONS-LIBRE</v>
          </cell>
          <cell r="L306" t="str">
            <v>FOB</v>
          </cell>
          <cell r="M306" t="str">
            <v>3520</v>
          </cell>
          <cell r="N306" t="str">
            <v>113132.45</v>
          </cell>
          <cell r="O306" t="str">
            <v>10291.71</v>
          </cell>
          <cell r="P306" t="str">
            <v>0.00</v>
          </cell>
          <cell r="Q306" t="str">
            <v>82644.36</v>
          </cell>
          <cell r="R306">
            <v>1706</v>
          </cell>
          <cell r="S306" t="str">
            <v>56320.00</v>
          </cell>
          <cell r="T306" t="str">
            <v>51,710,208</v>
          </cell>
          <cell r="U306" t="str">
            <v>1336</v>
          </cell>
          <cell r="V306" t="str">
            <v>26324.00</v>
          </cell>
          <cell r="W306">
            <v>24169381</v>
          </cell>
          <cell r="X306" t="str">
            <v>13135004-K</v>
          </cell>
          <cell r="Y306" t="str">
            <v>17-12-2025</v>
          </cell>
          <cell r="Z306" t="str">
            <v>SI</v>
          </cell>
          <cell r="AA306" t="str">
            <v>SI</v>
          </cell>
          <cell r="AB306" t="str">
            <v>15-07-2026</v>
          </cell>
          <cell r="AC306" t="str">
            <v>Sin Aprobar</v>
          </cell>
        </row>
        <row r="307">
          <cell r="A307">
            <v>146</v>
          </cell>
          <cell r="B307" t="str">
            <v>03-12-2025</v>
          </cell>
          <cell r="C307" t="str">
            <v>06-12-2025</v>
          </cell>
          <cell r="D307" t="str">
            <v>RIO DE JANEIRO EXPRESS</v>
          </cell>
          <cell r="E307" t="str">
            <v>MARITIMO</v>
          </cell>
          <cell r="F307" t="str">
            <v>PAGODA</v>
          </cell>
          <cell r="G307" t="str">
            <v>SHANGHAI HUI ZHAN INTERNATIONAL TRADE CO., LTD</v>
          </cell>
          <cell r="H307" t="str">
            <v>CEREZAS</v>
          </cell>
          <cell r="I307" t="str">
            <v>LAPINS / SANTINA /</v>
          </cell>
          <cell r="J307" t="str">
            <v>ALMAHUE EXPORT</v>
          </cell>
          <cell r="K307" t="str">
            <v>CONS-LIBRE</v>
          </cell>
          <cell r="L307" t="str">
            <v>FOB</v>
          </cell>
          <cell r="M307" t="str">
            <v>3520</v>
          </cell>
          <cell r="N307" t="str">
            <v>87188.99</v>
          </cell>
          <cell r="O307" t="str">
            <v>10306.13</v>
          </cell>
          <cell r="P307" t="str">
            <v>0.00</v>
          </cell>
          <cell r="Q307" t="str">
            <v>60005.67</v>
          </cell>
          <cell r="R307">
            <v>1687</v>
          </cell>
          <cell r="S307" t="str">
            <v>56320.00</v>
          </cell>
          <cell r="T307" t="str">
            <v>51,710,208</v>
          </cell>
          <cell r="U307" t="str">
            <v>1335</v>
          </cell>
          <cell r="V307" t="str">
            <v>3686.00</v>
          </cell>
          <cell r="W307">
            <v>3384301</v>
          </cell>
          <cell r="X307" t="str">
            <v>13139689-9</v>
          </cell>
          <cell r="Y307" t="str">
            <v>18-12-2025</v>
          </cell>
          <cell r="Z307" t="str">
            <v>SI</v>
          </cell>
          <cell r="AA307" t="str">
            <v>SI</v>
          </cell>
          <cell r="AB307" t="str">
            <v>16-07-2026</v>
          </cell>
          <cell r="AC307" t="str">
            <v>Sin Aprobar</v>
          </cell>
        </row>
        <row r="308">
          <cell r="A308">
            <v>145</v>
          </cell>
          <cell r="B308" t="str">
            <v>04-12-2025</v>
          </cell>
          <cell r="C308" t="str">
            <v>06-12-2025</v>
          </cell>
          <cell r="D308" t="str">
            <v>RIO DE JANEIRO EXPRESS</v>
          </cell>
          <cell r="E308" t="str">
            <v>MARITIMO</v>
          </cell>
          <cell r="F308" t="str">
            <v>HUASHENG</v>
          </cell>
          <cell r="G308" t="str">
            <v>CHUN WAN YI (GUANGZHOU) SUPPLY CHAIN MANAGEMENT CO., LTD</v>
          </cell>
          <cell r="H308" t="str">
            <v>CEREZAS</v>
          </cell>
          <cell r="I308" t="str">
            <v>SANTINA /</v>
          </cell>
          <cell r="J308" t="str">
            <v>ALMAHUE EXPORT</v>
          </cell>
          <cell r="K308" t="str">
            <v>CONS-LIBRE</v>
          </cell>
          <cell r="L308" t="str">
            <v>FOB</v>
          </cell>
          <cell r="M308" t="str">
            <v>3520</v>
          </cell>
          <cell r="N308" t="str">
            <v>144157.08</v>
          </cell>
          <cell r="O308" t="str">
            <v>10011.22</v>
          </cell>
          <cell r="P308" t="str">
            <v>0.00</v>
          </cell>
          <cell r="Q308" t="str">
            <v>107507.88</v>
          </cell>
          <cell r="R308">
            <v>1686</v>
          </cell>
          <cell r="S308" t="str">
            <v>56320.00</v>
          </cell>
          <cell r="T308" t="str">
            <v>51,710,208</v>
          </cell>
          <cell r="U308" t="str">
            <v>1334</v>
          </cell>
          <cell r="V308" t="str">
            <v>51188.00</v>
          </cell>
          <cell r="W308">
            <v>46998262</v>
          </cell>
          <cell r="X308" t="str">
            <v>13139891-3</v>
          </cell>
          <cell r="Y308" t="str">
            <v>18-12-2025</v>
          </cell>
          <cell r="Z308" t="str">
            <v>SI</v>
          </cell>
          <cell r="AA308" t="str">
            <v>SI</v>
          </cell>
          <cell r="AB308" t="str">
            <v>16-07-2026</v>
          </cell>
          <cell r="AC308" t="str">
            <v>Sin Aprobar</v>
          </cell>
        </row>
        <row r="309">
          <cell r="A309">
            <v>144</v>
          </cell>
          <cell r="B309" t="str">
            <v>03-12-2025</v>
          </cell>
          <cell r="C309" t="str">
            <v>06-12-2025</v>
          </cell>
          <cell r="D309" t="str">
            <v>RIO DE JANEIRO EXPRESS</v>
          </cell>
          <cell r="E309" t="str">
            <v>MARITIMO</v>
          </cell>
          <cell r="F309" t="str">
            <v>SANGO</v>
          </cell>
          <cell r="G309" t="str">
            <v>ZHEJIANG OHENG IMPORT &amp; EXPORT CO.,LTD.</v>
          </cell>
          <cell r="H309" t="str">
            <v>CEREZAS</v>
          </cell>
          <cell r="I309" t="str">
            <v>LAPINS /</v>
          </cell>
          <cell r="J309" t="str">
            <v>ALMAHUE EXPORT</v>
          </cell>
          <cell r="K309" t="str">
            <v>CONS-LIBRE</v>
          </cell>
          <cell r="L309" t="str">
            <v>FOB</v>
          </cell>
          <cell r="M309" t="str">
            <v>3520</v>
          </cell>
          <cell r="N309" t="str">
            <v>820630.00</v>
          </cell>
          <cell r="O309" t="str">
            <v>72134.63</v>
          </cell>
          <cell r="P309" t="str">
            <v>0.00</v>
          </cell>
          <cell r="Q309" t="str">
            <v>591411.16</v>
          </cell>
          <cell r="R309">
            <v>1685</v>
          </cell>
          <cell r="S309" t="str">
            <v>56320.00</v>
          </cell>
          <cell r="T309" t="str">
            <v>51,710,208</v>
          </cell>
          <cell r="U309" t="str">
            <v>1333</v>
          </cell>
          <cell r="V309" t="str">
            <v>30244.00</v>
          </cell>
          <cell r="W309">
            <v>27768529</v>
          </cell>
          <cell r="X309" t="str">
            <v>13137678-2</v>
          </cell>
          <cell r="Y309" t="str">
            <v>17-12-2025</v>
          </cell>
          <cell r="Z309" t="str">
            <v>SI</v>
          </cell>
          <cell r="AA309" t="str">
            <v>SI</v>
          </cell>
          <cell r="AB309" t="str">
            <v>15-07-2026</v>
          </cell>
          <cell r="AC309" t="str">
            <v>Sin Aprobar</v>
          </cell>
        </row>
        <row r="310">
          <cell r="A310">
            <v>143</v>
          </cell>
          <cell r="B310" t="str">
            <v>03-12-2025</v>
          </cell>
          <cell r="C310" t="str">
            <v>06-12-2025</v>
          </cell>
          <cell r="D310" t="str">
            <v>RIO DE JANEIRO EXPRESS</v>
          </cell>
          <cell r="E310" t="str">
            <v>MARITIMO</v>
          </cell>
          <cell r="F310" t="str">
            <v>DORLUNG</v>
          </cell>
          <cell r="G310" t="str">
            <v>SHENZHEN WEI CHENG LI DE TRADE CO.,LTD</v>
          </cell>
          <cell r="H310" t="str">
            <v>CEREZAS</v>
          </cell>
          <cell r="I310" t="str">
            <v>SANTINA /</v>
          </cell>
          <cell r="J310" t="str">
            <v>ALMAHUE EXPORT</v>
          </cell>
          <cell r="K310" t="str">
            <v>CONS-LIBRE</v>
          </cell>
          <cell r="L310" t="str">
            <v>FOB</v>
          </cell>
          <cell r="M310" t="str">
            <v>3520</v>
          </cell>
          <cell r="N310" t="str">
            <v>110200.87</v>
          </cell>
          <cell r="O310" t="str">
            <v>10110.00</v>
          </cell>
          <cell r="P310" t="str">
            <v>0.00</v>
          </cell>
          <cell r="Q310" t="str">
            <v>76180.10</v>
          </cell>
          <cell r="R310">
            <v>1705</v>
          </cell>
          <cell r="S310" t="str">
            <v>56320.00</v>
          </cell>
          <cell r="T310" t="str">
            <v>51,710,208</v>
          </cell>
          <cell r="U310" t="str">
            <v>1332</v>
          </cell>
          <cell r="V310" t="str">
            <v>19860.00</v>
          </cell>
          <cell r="W310">
            <v>18234459</v>
          </cell>
          <cell r="X310" t="str">
            <v>13137422-4</v>
          </cell>
          <cell r="Y310" t="str">
            <v>17-12-2025</v>
          </cell>
          <cell r="Z310" t="str">
            <v>SI</v>
          </cell>
          <cell r="AA310" t="str">
            <v>SI</v>
          </cell>
          <cell r="AB310" t="str">
            <v>15-07-2026</v>
          </cell>
          <cell r="AC310" t="str">
            <v>Sin Aprobar</v>
          </cell>
        </row>
        <row r="311">
          <cell r="A311">
            <v>142</v>
          </cell>
          <cell r="B311" t="str">
            <v>02-12-2025</v>
          </cell>
          <cell r="C311" t="str">
            <v>06-12-2025</v>
          </cell>
          <cell r="D311" t="str">
            <v>RIO DE JANEIRO EXPRESS</v>
          </cell>
          <cell r="E311" t="str">
            <v>MARITIMO</v>
          </cell>
          <cell r="F311" t="str">
            <v>KINGO</v>
          </cell>
          <cell r="G311" t="str">
            <v>SHENZHEN FANYA XIANSHIHUI CO.,LTD</v>
          </cell>
          <cell r="H311" t="str">
            <v>CEREZAS</v>
          </cell>
          <cell r="I311" t="str">
            <v>BING / LAPINS / SANTINA /</v>
          </cell>
          <cell r="J311" t="str">
            <v>ALMAHUE EXPORT</v>
          </cell>
          <cell r="K311" t="str">
            <v>CONS-LIBRE</v>
          </cell>
          <cell r="L311" t="str">
            <v>FOB</v>
          </cell>
          <cell r="M311" t="str">
            <v>3608</v>
          </cell>
          <cell r="N311" t="str">
            <v>567770.38</v>
          </cell>
          <cell r="O311" t="str">
            <v>71033.87</v>
          </cell>
          <cell r="P311" t="str">
            <v>0.00</v>
          </cell>
          <cell r="Q311" t="str">
            <v>382086.96</v>
          </cell>
          <cell r="R311">
            <v>1684</v>
          </cell>
          <cell r="S311" t="str">
            <v>57728.00</v>
          </cell>
          <cell r="T311" t="str">
            <v>53,002,963</v>
          </cell>
          <cell r="U311" t="str">
            <v>503</v>
          </cell>
          <cell r="V311" t="str">
            <v>1803.00</v>
          </cell>
          <cell r="W311">
            <v>1655424</v>
          </cell>
          <cell r="X311" t="str">
            <v>13137406-2</v>
          </cell>
          <cell r="Y311" t="str">
            <v>17-12-2025</v>
          </cell>
          <cell r="Z311" t="str">
            <v>SI</v>
          </cell>
          <cell r="AA311" t="str">
            <v>SI</v>
          </cell>
          <cell r="AB311" t="str">
            <v>15-07-2026</v>
          </cell>
          <cell r="AC311" t="str">
            <v>Sin Aprobar</v>
          </cell>
        </row>
        <row r="312">
          <cell r="A312">
            <v>141</v>
          </cell>
          <cell r="B312" t="str">
            <v>02-12-2025</v>
          </cell>
          <cell r="C312" t="str">
            <v>06-12-2025</v>
          </cell>
          <cell r="D312" t="str">
            <v>RIO DE JANEIRO EXPRESS</v>
          </cell>
          <cell r="E312" t="str">
            <v>MARITIMO</v>
          </cell>
          <cell r="F312" t="str">
            <v>YOGO</v>
          </cell>
          <cell r="G312" t="str">
            <v>CHENGDU RAILPORT EURASIA IMPORT AND EXPORT TRADE CO.,LTD.</v>
          </cell>
          <cell r="H312" t="str">
            <v>CEREZAS</v>
          </cell>
          <cell r="I312" t="str">
            <v>SANTINA /</v>
          </cell>
          <cell r="J312" t="str">
            <v>ALMAHUE EXPORT</v>
          </cell>
          <cell r="K312" t="str">
            <v>CONS-LIBRE</v>
          </cell>
          <cell r="L312" t="str">
            <v>FOB</v>
          </cell>
          <cell r="M312" t="str">
            <v>3520</v>
          </cell>
          <cell r="N312" t="str">
            <v>137230.24</v>
          </cell>
          <cell r="O312" t="str">
            <v>9983.22</v>
          </cell>
          <cell r="P312" t="str">
            <v>0.00</v>
          </cell>
          <cell r="Q312" t="str">
            <v>100776.22</v>
          </cell>
          <cell r="R312">
            <v>1683</v>
          </cell>
          <cell r="S312" t="str">
            <v>56320.00</v>
          </cell>
          <cell r="T312" t="str">
            <v>51,710,208</v>
          </cell>
          <cell r="U312" t="str">
            <v>1331</v>
          </cell>
          <cell r="V312" t="str">
            <v>44456.00</v>
          </cell>
          <cell r="W312">
            <v>40817276</v>
          </cell>
          <cell r="X312" t="str">
            <v>13135052-K</v>
          </cell>
          <cell r="Y312" t="str">
            <v>17-12-2025</v>
          </cell>
          <cell r="Z312" t="str">
            <v>SI</v>
          </cell>
          <cell r="AA312" t="str">
            <v>SI</v>
          </cell>
          <cell r="AB312" t="str">
            <v>15-07-2026</v>
          </cell>
          <cell r="AC312" t="str">
            <v>Sin Aprobar</v>
          </cell>
        </row>
        <row r="313">
          <cell r="A313">
            <v>140</v>
          </cell>
          <cell r="B313" t="str">
            <v>02-12-2025</v>
          </cell>
          <cell r="C313" t="str">
            <v>06-12-2025</v>
          </cell>
          <cell r="D313" t="str">
            <v>RIO DE JANEIRO EXPRESS</v>
          </cell>
          <cell r="E313" t="str">
            <v>MARITIMO</v>
          </cell>
          <cell r="F313" t="str">
            <v>HING LEE</v>
          </cell>
          <cell r="G313" t="str">
            <v>SHENZHEN JINSHUN'AN INTERNATIONAL FREIGHT FORWARDING CO.,LTD</v>
          </cell>
          <cell r="H313" t="str">
            <v>CEREZAS</v>
          </cell>
          <cell r="I313" t="str">
            <v>SANTINA /</v>
          </cell>
          <cell r="J313" t="str">
            <v>ALMAHUE EXPORT</v>
          </cell>
          <cell r="K313" t="str">
            <v>CONS-LIBRE</v>
          </cell>
          <cell r="L313" t="str">
            <v>FOB</v>
          </cell>
          <cell r="M313" t="str">
            <v>3520</v>
          </cell>
          <cell r="N313" t="str">
            <v>106316.26</v>
          </cell>
          <cell r="O313" t="str">
            <v>10472.40</v>
          </cell>
          <cell r="P313" t="str">
            <v>0.00</v>
          </cell>
          <cell r="Q313" t="str">
            <v>72882.51</v>
          </cell>
          <cell r="R313">
            <v>1704</v>
          </cell>
          <cell r="S313" t="str">
            <v>56320.00</v>
          </cell>
          <cell r="T313" t="str">
            <v>51,710,208</v>
          </cell>
          <cell r="U313" t="str">
            <v>1330</v>
          </cell>
          <cell r="V313" t="str">
            <v>16563.00</v>
          </cell>
          <cell r="W313">
            <v>15207318</v>
          </cell>
          <cell r="X313" t="str">
            <v>13134940-8</v>
          </cell>
          <cell r="Y313" t="str">
            <v>17-12-2025</v>
          </cell>
          <cell r="Z313" t="str">
            <v>SI</v>
          </cell>
          <cell r="AA313" t="str">
            <v>SI</v>
          </cell>
          <cell r="AB313" t="str">
            <v>15-07-2026</v>
          </cell>
          <cell r="AC313" t="str">
            <v>Sin Aprobar</v>
          </cell>
        </row>
        <row r="314">
          <cell r="A314">
            <v>139</v>
          </cell>
          <cell r="B314" t="str">
            <v>01-12-2025</v>
          </cell>
          <cell r="C314" t="str">
            <v>03-12-2025</v>
          </cell>
          <cell r="D314" t="str">
            <v>COSCO SHIPPING VOLGA</v>
          </cell>
          <cell r="E314" t="str">
            <v>MARITIMO</v>
          </cell>
          <cell r="F314" t="str">
            <v>YUERUN TRADING</v>
          </cell>
          <cell r="G314" t="str">
            <v>SHENZHEN FANYA XIANSHIHUI CO.,LTD</v>
          </cell>
          <cell r="H314" t="str">
            <v>CEREZAS</v>
          </cell>
          <cell r="I314" t="str">
            <v>SANTINA /</v>
          </cell>
          <cell r="J314" t="str">
            <v>ALMAHUE EXPORT</v>
          </cell>
          <cell r="K314" t="str">
            <v>CONS-LIBRE</v>
          </cell>
          <cell r="L314" t="str">
            <v>FOB</v>
          </cell>
          <cell r="M314" t="str">
            <v>3520</v>
          </cell>
          <cell r="N314" t="str">
            <v>888270.00</v>
          </cell>
          <cell r="O314" t="str">
            <v>68952.20</v>
          </cell>
          <cell r="P314" t="str">
            <v>0.00</v>
          </cell>
          <cell r="Q314" t="str">
            <v>670506.70</v>
          </cell>
          <cell r="R314">
            <v>1680</v>
          </cell>
          <cell r="S314" t="str">
            <v>70400.00</v>
          </cell>
          <cell r="T314" t="str">
            <v>65,146,048</v>
          </cell>
          <cell r="U314" t="str">
            <v>1329</v>
          </cell>
          <cell r="V314" t="str">
            <v>27741.00</v>
          </cell>
          <cell r="W314">
            <v>25670689</v>
          </cell>
          <cell r="X314" t="str">
            <v>13130749-7</v>
          </cell>
          <cell r="Y314" t="str">
            <v>13-12-2025</v>
          </cell>
          <cell r="Z314" t="str">
            <v>SI</v>
          </cell>
          <cell r="AA314" t="str">
            <v>SI</v>
          </cell>
          <cell r="AB314" t="str">
            <v>11-07-2026</v>
          </cell>
          <cell r="AC314" t="str">
            <v>Sin Aprobar</v>
          </cell>
        </row>
        <row r="315">
          <cell r="A315">
            <v>138</v>
          </cell>
          <cell r="B315" t="str">
            <v>01-12-2025</v>
          </cell>
          <cell r="C315" t="str">
            <v>03-12-2025</v>
          </cell>
          <cell r="D315" t="str">
            <v>COSCO SHIPPING VOLGA</v>
          </cell>
          <cell r="E315" t="str">
            <v>MARITIMO</v>
          </cell>
          <cell r="F315" t="str">
            <v>WUHAN CCMAX FRUITS CO., LTD</v>
          </cell>
          <cell r="G315" t="str">
            <v>OPTIMIZE INTEGRATION GROUP INC</v>
          </cell>
          <cell r="H315" t="str">
            <v>CEREZAS</v>
          </cell>
          <cell r="I315" t="str">
            <v>BING / LAPINS / SANTINA /</v>
          </cell>
          <cell r="J315" t="str">
            <v>ALMAHUE EXPORT</v>
          </cell>
          <cell r="K315" t="str">
            <v>CONS-LIBRE</v>
          </cell>
          <cell r="L315" t="str">
            <v>FOB</v>
          </cell>
          <cell r="M315" t="str">
            <v>3600</v>
          </cell>
          <cell r="N315" t="str">
            <v>77765.14</v>
          </cell>
          <cell r="O315" t="str">
            <v>10266.97</v>
          </cell>
          <cell r="P315" t="str">
            <v>0.00</v>
          </cell>
          <cell r="Q315" t="str">
            <v>46692.06</v>
          </cell>
          <cell r="R315">
            <v>1679</v>
          </cell>
          <cell r="S315" t="str">
            <v>72000.00</v>
          </cell>
          <cell r="T315" t="str">
            <v>66,626,640</v>
          </cell>
          <cell r="U315" t="str">
            <v>502</v>
          </cell>
          <cell r="V315" t="str">
            <v>-25308.00</v>
          </cell>
          <cell r="W315">
            <v>-23419264</v>
          </cell>
          <cell r="X315" t="str">
            <v>13130744-6</v>
          </cell>
          <cell r="Y315" t="str">
            <v>13-12-2025</v>
          </cell>
          <cell r="Z315" t="str">
            <v>SI</v>
          </cell>
          <cell r="AA315" t="str">
            <v>SI</v>
          </cell>
          <cell r="AB315" t="str">
            <v>11-07-2026</v>
          </cell>
          <cell r="AC315" t="str">
            <v>Sin Aprobar</v>
          </cell>
        </row>
        <row r="316">
          <cell r="A316">
            <v>137</v>
          </cell>
          <cell r="B316" t="str">
            <v>01-12-2025</v>
          </cell>
          <cell r="C316" t="str">
            <v>03-12-2025</v>
          </cell>
          <cell r="D316" t="str">
            <v>COSCO SHIPPING VOLGA</v>
          </cell>
          <cell r="E316" t="str">
            <v>MARITIMO</v>
          </cell>
          <cell r="F316" t="str">
            <v>KINGO</v>
          </cell>
          <cell r="G316" t="str">
            <v>KINGO SHANGHAI CO.,LTD.</v>
          </cell>
          <cell r="H316" t="str">
            <v>CEREZAS</v>
          </cell>
          <cell r="I316" t="str">
            <v>BING /</v>
          </cell>
          <cell r="J316" t="str">
            <v>ALMAHUE EXPORT</v>
          </cell>
          <cell r="K316" t="str">
            <v>CONS-LIBRE</v>
          </cell>
          <cell r="L316" t="str">
            <v>FOB</v>
          </cell>
          <cell r="M316" t="str">
            <v>3520</v>
          </cell>
          <cell r="N316" t="str">
            <v>828320.51</v>
          </cell>
          <cell r="O316" t="str">
            <v>68488.88</v>
          </cell>
          <cell r="P316" t="str">
            <v>0.00</v>
          </cell>
          <cell r="Q316" t="str">
            <v>618680.97</v>
          </cell>
          <cell r="R316">
            <v>1672</v>
          </cell>
          <cell r="S316" t="str">
            <v>70400.00</v>
          </cell>
          <cell r="T316" t="str">
            <v>65,146,048</v>
          </cell>
          <cell r="U316" t="str">
            <v>1328</v>
          </cell>
          <cell r="V316" t="str">
            <v>20155.00</v>
          </cell>
          <cell r="W316">
            <v>18650832</v>
          </cell>
          <cell r="X316" t="str">
            <v>13130743-8</v>
          </cell>
          <cell r="Y316" t="str">
            <v>13-12-2025</v>
          </cell>
          <cell r="Z316" t="str">
            <v>SI</v>
          </cell>
          <cell r="AA316" t="str">
            <v>SI</v>
          </cell>
          <cell r="AB316" t="str">
            <v>11-07-2026</v>
          </cell>
          <cell r="AC316" t="str">
            <v>Sin Aprobar</v>
          </cell>
        </row>
        <row r="317">
          <cell r="A317">
            <v>136</v>
          </cell>
          <cell r="B317" t="str">
            <v>30-11-2025</v>
          </cell>
          <cell r="C317" t="str">
            <v>03-12-2025</v>
          </cell>
          <cell r="D317" t="str">
            <v>COSCO SHIPPING VOLGA</v>
          </cell>
          <cell r="E317" t="str">
            <v>MARITIMO</v>
          </cell>
          <cell r="F317" t="str">
            <v>YOGO</v>
          </cell>
          <cell r="G317" t="str">
            <v>CHENGDU RAILPORT EURASIA IMPORT AND EXPORT TRADE CO.,LTD.</v>
          </cell>
          <cell r="H317" t="str">
            <v>CEREZAS</v>
          </cell>
          <cell r="I317" t="str">
            <v>SANTINA /</v>
          </cell>
          <cell r="J317" t="str">
            <v>ALMAHUE EXPORT</v>
          </cell>
          <cell r="K317" t="str">
            <v>CONS-LIBRE</v>
          </cell>
          <cell r="L317" t="str">
            <v>FOB</v>
          </cell>
          <cell r="M317" t="str">
            <v>3542</v>
          </cell>
          <cell r="N317" t="str">
            <v>94724.12</v>
          </cell>
          <cell r="O317" t="str">
            <v>9632.85</v>
          </cell>
          <cell r="P317" t="str">
            <v>0.00</v>
          </cell>
          <cell r="Q317" t="str">
            <v>64666.36</v>
          </cell>
          <cell r="R317">
            <v>1671</v>
          </cell>
          <cell r="S317" t="str">
            <v>70840.00</v>
          </cell>
          <cell r="T317" t="str">
            <v>65,553,211</v>
          </cell>
          <cell r="U317" t="str">
            <v>501</v>
          </cell>
          <cell r="V317" t="str">
            <v>-6174.00</v>
          </cell>
          <cell r="W317">
            <v>-5713234</v>
          </cell>
          <cell r="X317" t="str">
            <v>13130938-4</v>
          </cell>
          <cell r="Y317" t="str">
            <v>19-12-2025</v>
          </cell>
          <cell r="Z317" t="str">
            <v>SI</v>
          </cell>
          <cell r="AA317" t="str">
            <v>SI</v>
          </cell>
          <cell r="AB317" t="str">
            <v>17-07-2026</v>
          </cell>
          <cell r="AC317" t="str">
            <v>Sin Aprobar</v>
          </cell>
        </row>
        <row r="318">
          <cell r="A318">
            <v>135</v>
          </cell>
          <cell r="B318" t="str">
            <v>30-11-2025</v>
          </cell>
          <cell r="C318" t="str">
            <v>03-12-2025</v>
          </cell>
          <cell r="D318" t="str">
            <v>COSCO SHIPPING VOLGA</v>
          </cell>
          <cell r="E318" t="str">
            <v>MARITIMO</v>
          </cell>
          <cell r="F318" t="str">
            <v>FRUITJOY</v>
          </cell>
          <cell r="G318" t="str">
            <v>SHANGHAI HUI ZHAN INTERNATIONAL TRADE CO., LTD</v>
          </cell>
          <cell r="H318" t="str">
            <v>CEREZAS</v>
          </cell>
          <cell r="I318" t="str">
            <v>SANTINA /</v>
          </cell>
          <cell r="J318" t="str">
            <v>ALMAHUE EXPORT</v>
          </cell>
          <cell r="K318" t="str">
            <v>CONS-LIBRE</v>
          </cell>
          <cell r="L318" t="str">
            <v>FOB</v>
          </cell>
          <cell r="M318" t="str">
            <v>3520</v>
          </cell>
          <cell r="N318" t="str">
            <v>128078.51</v>
          </cell>
          <cell r="O318" t="str">
            <v>9653.03</v>
          </cell>
          <cell r="P318" t="str">
            <v>0.00</v>
          </cell>
          <cell r="Q318" t="str">
            <v>94650.39</v>
          </cell>
          <cell r="R318">
            <v>1678</v>
          </cell>
          <cell r="S318" t="str">
            <v>70400.00</v>
          </cell>
          <cell r="T318" t="str">
            <v>65,146,048</v>
          </cell>
          <cell r="U318" t="str">
            <v>1327</v>
          </cell>
          <cell r="V318" t="str">
            <v>24250.00</v>
          </cell>
          <cell r="W318">
            <v>22440223</v>
          </cell>
          <cell r="X318" t="str">
            <v>13130944-9</v>
          </cell>
          <cell r="Y318" t="str">
            <v>19-12-2025</v>
          </cell>
          <cell r="Z318" t="str">
            <v>SI</v>
          </cell>
          <cell r="AA318" t="str">
            <v>SI</v>
          </cell>
          <cell r="AB318" t="str">
            <v>17-07-2026</v>
          </cell>
          <cell r="AC318" t="str">
            <v>Sin Aprobar</v>
          </cell>
        </row>
        <row r="319">
          <cell r="A319">
            <v>134</v>
          </cell>
          <cell r="B319" t="str">
            <v>30-11-2025</v>
          </cell>
          <cell r="C319" t="str">
            <v>03-12-2025</v>
          </cell>
          <cell r="D319" t="str">
            <v>COSCO SHIPPING VOLGA</v>
          </cell>
          <cell r="E319" t="str">
            <v>MARITIMO</v>
          </cell>
          <cell r="F319" t="str">
            <v>SANGO</v>
          </cell>
          <cell r="G319" t="str">
            <v>ZHEJIANG OHENG IMPORT &amp; EXPORT CO.,LTD.</v>
          </cell>
          <cell r="H319" t="str">
            <v>CEREZAS</v>
          </cell>
          <cell r="I319" t="str">
            <v>SANTINA /</v>
          </cell>
          <cell r="J319" t="str">
            <v>ALMAHUE EXPORT</v>
          </cell>
          <cell r="K319" t="str">
            <v>CONS-LIBRE</v>
          </cell>
          <cell r="L319" t="str">
            <v>FOB</v>
          </cell>
          <cell r="M319" t="str">
            <v>3520</v>
          </cell>
          <cell r="N319" t="str">
            <v>784710.00</v>
          </cell>
          <cell r="O319" t="str">
            <v>68931.10</v>
          </cell>
          <cell r="P319" t="str">
            <v>0.00</v>
          </cell>
          <cell r="Q319" t="str">
            <v>577848.24</v>
          </cell>
          <cell r="R319">
            <v>1670</v>
          </cell>
          <cell r="S319" t="str">
            <v>70400.00</v>
          </cell>
          <cell r="T319" t="str">
            <v>65,146,048</v>
          </cell>
          <cell r="U319" t="str">
            <v>1326</v>
          </cell>
          <cell r="V319" t="str">
            <v>14178.00</v>
          </cell>
          <cell r="W319">
            <v>13119896</v>
          </cell>
          <cell r="X319" t="str">
            <v>13130940-6</v>
          </cell>
          <cell r="Y319" t="str">
            <v>23-12-2025</v>
          </cell>
          <cell r="Z319" t="str">
            <v>SI</v>
          </cell>
          <cell r="AA319" t="str">
            <v>SI</v>
          </cell>
          <cell r="AB319" t="str">
            <v>21-07-2026</v>
          </cell>
          <cell r="AC319" t="str">
            <v>Sin Aprobar</v>
          </cell>
        </row>
        <row r="320">
          <cell r="A320">
            <v>133</v>
          </cell>
          <cell r="B320" t="str">
            <v>30-11-2025</v>
          </cell>
          <cell r="C320" t="str">
            <v>03-12-2025</v>
          </cell>
          <cell r="D320" t="str">
            <v>COSCO SHIPPING VOLGA</v>
          </cell>
          <cell r="E320" t="str">
            <v>MARITIMO</v>
          </cell>
          <cell r="F320" t="str">
            <v>KINGO</v>
          </cell>
          <cell r="G320" t="str">
            <v>KINGO SHANGHAI CO.,LTD.</v>
          </cell>
          <cell r="H320" t="str">
            <v>CEREZAS</v>
          </cell>
          <cell r="I320" t="str">
            <v>SANTINA /</v>
          </cell>
          <cell r="J320" t="str">
            <v>ALMAHUE EXPORT</v>
          </cell>
          <cell r="K320" t="str">
            <v>CONS-LIBRE</v>
          </cell>
          <cell r="L320" t="str">
            <v>FOB</v>
          </cell>
          <cell r="M320" t="str">
            <v>3520</v>
          </cell>
          <cell r="N320" t="str">
            <v>752770.21</v>
          </cell>
          <cell r="O320" t="str">
            <v>68488.88</v>
          </cell>
          <cell r="P320" t="str">
            <v>0.00</v>
          </cell>
          <cell r="Q320" t="str">
            <v>553618.93</v>
          </cell>
          <cell r="R320">
            <v>1669</v>
          </cell>
          <cell r="S320" t="str">
            <v>70400.00</v>
          </cell>
          <cell r="T320" t="str">
            <v>65,146,048</v>
          </cell>
          <cell r="U320" t="str">
            <v>1325</v>
          </cell>
          <cell r="V320" t="str">
            <v>10632.00</v>
          </cell>
          <cell r="W320">
            <v>9838534</v>
          </cell>
          <cell r="X320" t="str">
            <v>13130741-1</v>
          </cell>
          <cell r="Y320" t="str">
            <v>13-12-2025</v>
          </cell>
          <cell r="Z320" t="str">
            <v>SI</v>
          </cell>
          <cell r="AA320" t="str">
            <v>SI</v>
          </cell>
          <cell r="AB320" t="str">
            <v>11-07-2026</v>
          </cell>
          <cell r="AC320" t="str">
            <v>Sin Aprobar</v>
          </cell>
        </row>
        <row r="321">
          <cell r="A321">
            <v>132</v>
          </cell>
          <cell r="B321" t="str">
            <v>30-11-2025</v>
          </cell>
          <cell r="C321" t="str">
            <v>03-12-2025</v>
          </cell>
          <cell r="D321" t="str">
            <v>COSCO SHIPPING VOLGA</v>
          </cell>
          <cell r="E321" t="str">
            <v>MARITIMO</v>
          </cell>
          <cell r="F321" t="str">
            <v>YOGO</v>
          </cell>
          <cell r="G321" t="str">
            <v>CHENGDU RAILPORT EURASIA IMPORT AND EXPORT TRADE CO.,LTD.</v>
          </cell>
          <cell r="H321" t="str">
            <v>CEREZAS</v>
          </cell>
          <cell r="I321" t="str">
            <v>SANTINA /</v>
          </cell>
          <cell r="J321" t="str">
            <v>ALMAHUE EXPORT</v>
          </cell>
          <cell r="K321" t="str">
            <v>CONS-LIBRE</v>
          </cell>
          <cell r="L321" t="str">
            <v>FOB</v>
          </cell>
          <cell r="M321" t="str">
            <v>3520</v>
          </cell>
          <cell r="N321" t="str">
            <v>127800.54</v>
          </cell>
          <cell r="O321" t="str">
            <v>9632.85</v>
          </cell>
          <cell r="P321" t="str">
            <v>0.00</v>
          </cell>
          <cell r="Q321" t="str">
            <v>93898.75</v>
          </cell>
          <cell r="R321">
            <v>1668</v>
          </cell>
          <cell r="S321" t="str">
            <v>70400.00</v>
          </cell>
          <cell r="T321" t="str">
            <v>65,146,048</v>
          </cell>
          <cell r="U321" t="str">
            <v>1324</v>
          </cell>
          <cell r="V321" t="str">
            <v>23499.00</v>
          </cell>
          <cell r="W321">
            <v>21745270</v>
          </cell>
          <cell r="X321" t="str">
            <v>13130936-8</v>
          </cell>
          <cell r="Y321" t="str">
            <v>22-12-2025</v>
          </cell>
          <cell r="Z321" t="str">
            <v>SI</v>
          </cell>
          <cell r="AA321" t="str">
            <v>SI</v>
          </cell>
          <cell r="AB321" t="str">
            <v>20-07-2026</v>
          </cell>
          <cell r="AC321" t="str">
            <v>Sin Aprobar</v>
          </cell>
        </row>
        <row r="322">
          <cell r="A322">
            <v>131</v>
          </cell>
          <cell r="B322" t="str">
            <v>29-11-2025</v>
          </cell>
          <cell r="C322" t="str">
            <v>03-12-2025</v>
          </cell>
          <cell r="D322" t="str">
            <v>COSCO SHIPPING VOLGA</v>
          </cell>
          <cell r="E322" t="str">
            <v>MARITIMO</v>
          </cell>
          <cell r="F322" t="str">
            <v>FRUITJOY</v>
          </cell>
          <cell r="G322" t="str">
            <v>SHANGHAI HUI ZHAN INTERNATIONAL TRADE CO., LTD</v>
          </cell>
          <cell r="H322" t="str">
            <v>CEREZAS</v>
          </cell>
          <cell r="I322" t="str">
            <v>SANTINA /</v>
          </cell>
          <cell r="J322" t="str">
            <v>ALMAHUE EXPORT</v>
          </cell>
          <cell r="K322" t="str">
            <v>CONS-LIBRE</v>
          </cell>
          <cell r="L322" t="str">
            <v>FOB</v>
          </cell>
          <cell r="M322" t="str">
            <v>3576</v>
          </cell>
          <cell r="N322" t="str">
            <v>90608.16</v>
          </cell>
          <cell r="O322" t="str">
            <v>9653.03</v>
          </cell>
          <cell r="P322" t="str">
            <v>0.00</v>
          </cell>
          <cell r="Q322" t="str">
            <v>63383.44</v>
          </cell>
          <cell r="R322">
            <v>1677</v>
          </cell>
          <cell r="S322" t="str">
            <v>71520.00</v>
          </cell>
          <cell r="T322" t="str">
            <v>66,182,462</v>
          </cell>
          <cell r="U322" t="str">
            <v>500</v>
          </cell>
          <cell r="V322" t="str">
            <v>-8137.00</v>
          </cell>
          <cell r="W322">
            <v>-7529736</v>
          </cell>
          <cell r="X322" t="str">
            <v>13130639-3</v>
          </cell>
          <cell r="Y322" t="str">
            <v>17-12-2025</v>
          </cell>
          <cell r="Z322" t="str">
            <v>SI</v>
          </cell>
          <cell r="AA322" t="str">
            <v>SI</v>
          </cell>
          <cell r="AB322" t="str">
            <v>15-07-2026</v>
          </cell>
          <cell r="AC322" t="str">
            <v>Sin Aprobar</v>
          </cell>
        </row>
        <row r="323">
          <cell r="A323">
            <v>130</v>
          </cell>
          <cell r="B323" t="str">
            <v>29-11-2025</v>
          </cell>
          <cell r="C323" t="str">
            <v>03-12-2025</v>
          </cell>
          <cell r="D323" t="str">
            <v>COSCO SHIPPING VOLGA</v>
          </cell>
          <cell r="E323" t="str">
            <v>MARITIMO</v>
          </cell>
          <cell r="F323" t="str">
            <v>PAGODA</v>
          </cell>
          <cell r="G323" t="str">
            <v>SHANGHAI HUI ZHAN INTERNATIONAL TRADE CO., LTD</v>
          </cell>
          <cell r="H323" t="str">
            <v>CEREZAS</v>
          </cell>
          <cell r="I323" t="str">
            <v>SANTINA /</v>
          </cell>
          <cell r="J323" t="str">
            <v>ALMAHUE EXPORT</v>
          </cell>
          <cell r="K323" t="str">
            <v>CONS-LIBRE</v>
          </cell>
          <cell r="L323" t="str">
            <v>FOB</v>
          </cell>
          <cell r="M323" t="str">
            <v>3520</v>
          </cell>
          <cell r="N323" t="str">
            <v>113823.78</v>
          </cell>
          <cell r="O323" t="str">
            <v>9822.02</v>
          </cell>
          <cell r="P323" t="str">
            <v>0.00</v>
          </cell>
          <cell r="Q323" t="str">
            <v>87790.43</v>
          </cell>
          <cell r="R323">
            <v>1667</v>
          </cell>
          <cell r="S323" t="str">
            <v>70400.00</v>
          </cell>
          <cell r="T323" t="str">
            <v>65,146,048</v>
          </cell>
          <cell r="U323" t="str">
            <v>1323</v>
          </cell>
          <cell r="V323" t="str">
            <v>17390.00</v>
          </cell>
          <cell r="W323">
            <v>16092184</v>
          </cell>
          <cell r="X323" t="str">
            <v>13130060-3</v>
          </cell>
          <cell r="Y323" t="str">
            <v>13-12-2025</v>
          </cell>
          <cell r="Z323" t="str">
            <v>SI</v>
          </cell>
          <cell r="AA323" t="str">
            <v>SI</v>
          </cell>
          <cell r="AB323" t="str">
            <v>11-07-2026</v>
          </cell>
          <cell r="AC323" t="str">
            <v>Sin Aprobar</v>
          </cell>
        </row>
        <row r="324">
          <cell r="A324">
            <v>129</v>
          </cell>
          <cell r="B324" t="str">
            <v>29-11-2025</v>
          </cell>
          <cell r="C324" t="str">
            <v>03-12-2025</v>
          </cell>
          <cell r="D324" t="str">
            <v>COSCO SHIPPING VOLGA</v>
          </cell>
          <cell r="E324" t="str">
            <v>MARITIMO</v>
          </cell>
          <cell r="F324" t="str">
            <v>SUNHOLA</v>
          </cell>
          <cell r="G324" t="str">
            <v>HUBEI SHOUHENG SUPPLY CHAIN MANAGEMENT CO. , LTD</v>
          </cell>
          <cell r="H324" t="str">
            <v>CEREZAS</v>
          </cell>
          <cell r="I324" t="str">
            <v>SANTINA /</v>
          </cell>
          <cell r="J324" t="str">
            <v>ALMAHUE EXPORT</v>
          </cell>
          <cell r="K324" t="str">
            <v>CONS-LIBRE</v>
          </cell>
          <cell r="L324" t="str">
            <v>FOB</v>
          </cell>
          <cell r="M324" t="str">
            <v>3520</v>
          </cell>
          <cell r="N324" t="str">
            <v>769855.00</v>
          </cell>
          <cell r="O324" t="str">
            <v>68512.28</v>
          </cell>
          <cell r="P324" t="str">
            <v>0.00</v>
          </cell>
          <cell r="Q324" t="str">
            <v>558990.62</v>
          </cell>
          <cell r="R324">
            <v>1676</v>
          </cell>
          <cell r="S324" t="str">
            <v>70400.00</v>
          </cell>
          <cell r="T324" t="str">
            <v>65,146,048</v>
          </cell>
          <cell r="U324" t="str">
            <v>1322</v>
          </cell>
          <cell r="V324" t="str">
            <v>11418.00</v>
          </cell>
          <cell r="W324">
            <v>10565875</v>
          </cell>
          <cell r="X324" t="str">
            <v>13130637-7</v>
          </cell>
          <cell r="Y324" t="str">
            <v>19-12-2025</v>
          </cell>
          <cell r="Z324" t="str">
            <v>SI</v>
          </cell>
          <cell r="AA324" t="str">
            <v>SI</v>
          </cell>
          <cell r="AB324" t="str">
            <v>17-07-2026</v>
          </cell>
          <cell r="AC324" t="str">
            <v>Sin Aprobar</v>
          </cell>
        </row>
        <row r="325">
          <cell r="A325">
            <v>128</v>
          </cell>
          <cell r="B325" t="str">
            <v>29-11-2025</v>
          </cell>
          <cell r="C325" t="str">
            <v>03-12-2025</v>
          </cell>
          <cell r="D325" t="str">
            <v>COSCO SHIPPING VOLGA</v>
          </cell>
          <cell r="E325" t="str">
            <v>MARITIMO</v>
          </cell>
          <cell r="F325" t="str">
            <v>XINGWAN</v>
          </cell>
          <cell r="G325" t="str">
            <v>ZHEJIANG OHENG IMPORT &amp; EXPORT CO.,LTD.</v>
          </cell>
          <cell r="H325" t="str">
            <v>CEREZAS</v>
          </cell>
          <cell r="I325" t="str">
            <v>LAPINS / SANTINA /</v>
          </cell>
          <cell r="J325" t="str">
            <v>ALMAHUE EXPORT</v>
          </cell>
          <cell r="K325" t="str">
            <v>CONS-LIBRE</v>
          </cell>
          <cell r="L325" t="str">
            <v>FOB</v>
          </cell>
          <cell r="M325" t="str">
            <v>3552</v>
          </cell>
          <cell r="N325" t="str">
            <v>830760.00</v>
          </cell>
          <cell r="O325" t="str">
            <v>68931.10</v>
          </cell>
          <cell r="P325" t="str">
            <v>0.00</v>
          </cell>
          <cell r="Q325" t="str">
            <v>620044.90</v>
          </cell>
          <cell r="R325">
            <v>1666</v>
          </cell>
          <cell r="S325" t="str">
            <v>71040.00</v>
          </cell>
          <cell r="T325" t="str">
            <v>65,738,285</v>
          </cell>
          <cell r="U325" t="str">
            <v>1321</v>
          </cell>
          <cell r="V325" t="str">
            <v>19715.00</v>
          </cell>
          <cell r="W325">
            <v>18243670</v>
          </cell>
          <cell r="X325" t="str">
            <v>13130414-5</v>
          </cell>
          <cell r="Y325" t="str">
            <v>23-12-2025</v>
          </cell>
          <cell r="Z325" t="str">
            <v>SI</v>
          </cell>
          <cell r="AA325" t="str">
            <v>SI</v>
          </cell>
          <cell r="AB325" t="str">
            <v>21-07-2026</v>
          </cell>
          <cell r="AC325" t="str">
            <v>Sin Aprobar</v>
          </cell>
        </row>
        <row r="326">
          <cell r="A326">
            <v>127</v>
          </cell>
          <cell r="B326" t="str">
            <v>29-11-2025</v>
          </cell>
          <cell r="C326" t="str">
            <v>03-12-2025</v>
          </cell>
          <cell r="D326" t="str">
            <v>COSCO SHIPPING VOLGA</v>
          </cell>
          <cell r="E326" t="str">
            <v>MARITIMO</v>
          </cell>
          <cell r="F326" t="str">
            <v>CHEN SUN</v>
          </cell>
          <cell r="G326" t="str">
            <v>LUSHANG INTERNATIONAL TRADE CO., LTD.</v>
          </cell>
          <cell r="H326" t="str">
            <v>CEREZAS</v>
          </cell>
          <cell r="I326" t="str">
            <v>SANTINA /</v>
          </cell>
          <cell r="J326" t="str">
            <v>ALMAHUE EXPORT</v>
          </cell>
          <cell r="K326" t="str">
            <v>CONS-LIBRE</v>
          </cell>
          <cell r="L326" t="str">
            <v>FOB</v>
          </cell>
          <cell r="M326" t="str">
            <v>3520</v>
          </cell>
          <cell r="N326" t="str">
            <v>797209.95</v>
          </cell>
          <cell r="O326" t="str">
            <v>68831.00</v>
          </cell>
          <cell r="P326" t="str">
            <v>0.00</v>
          </cell>
          <cell r="Q326" t="str">
            <v>538749.26</v>
          </cell>
          <cell r="R326">
            <v>1675</v>
          </cell>
          <cell r="S326" t="str">
            <v>70400.00</v>
          </cell>
          <cell r="T326" t="str">
            <v>65,146,048</v>
          </cell>
          <cell r="U326" t="str">
            <v>1320</v>
          </cell>
          <cell r="V326" t="str">
            <v>8456.00</v>
          </cell>
          <cell r="W326">
            <v>7824929</v>
          </cell>
          <cell r="X326" t="str">
            <v>13130409-9</v>
          </cell>
          <cell r="Y326" t="str">
            <v>22-12-2025</v>
          </cell>
          <cell r="Z326" t="str">
            <v>SI</v>
          </cell>
          <cell r="AA326" t="str">
            <v>SI</v>
          </cell>
          <cell r="AB326" t="str">
            <v>20-07-2026</v>
          </cell>
          <cell r="AC326" t="str">
            <v>Sin Aprobar</v>
          </cell>
        </row>
        <row r="327">
          <cell r="A327">
            <v>126</v>
          </cell>
          <cell r="B327" t="str">
            <v>29-11-2025</v>
          </cell>
          <cell r="C327" t="str">
            <v>03-12-2025</v>
          </cell>
          <cell r="D327" t="str">
            <v>COSCO SHIPPING VOLGA</v>
          </cell>
          <cell r="E327" t="str">
            <v>MARITIMO</v>
          </cell>
          <cell r="F327" t="str">
            <v>WUHAN CCMAX FRUITS CO., LTD</v>
          </cell>
          <cell r="G327" t="str">
            <v>OPTIMIZE INTEGRATION GROUP INC</v>
          </cell>
          <cell r="H327" t="str">
            <v>CEREZAS</v>
          </cell>
          <cell r="I327" t="str">
            <v>SANTINA /</v>
          </cell>
          <cell r="J327" t="str">
            <v>ALMAHUE EXPORT</v>
          </cell>
          <cell r="K327" t="str">
            <v>CONS-LIBRE</v>
          </cell>
          <cell r="L327" t="str">
            <v>FOB</v>
          </cell>
          <cell r="M327" t="str">
            <v>3520</v>
          </cell>
          <cell r="N327" t="str">
            <v>141069.55</v>
          </cell>
          <cell r="O327" t="str">
            <v>10216.57</v>
          </cell>
          <cell r="P327" t="str">
            <v>0.00</v>
          </cell>
          <cell r="Q327" t="str">
            <v>103221.92</v>
          </cell>
          <cell r="R327">
            <v>1674</v>
          </cell>
          <cell r="S327" t="str">
            <v>70400.00</v>
          </cell>
          <cell r="T327" t="str">
            <v>65,146,048</v>
          </cell>
          <cell r="U327" t="str">
            <v>1319</v>
          </cell>
          <cell r="V327" t="str">
            <v>32822.00</v>
          </cell>
          <cell r="W327">
            <v>30372494</v>
          </cell>
          <cell r="X327" t="str">
            <v>13130395-5</v>
          </cell>
          <cell r="Y327" t="str">
            <v>22-12-2025</v>
          </cell>
          <cell r="Z327" t="str">
            <v>SI</v>
          </cell>
          <cell r="AA327" t="str">
            <v>SI</v>
          </cell>
          <cell r="AB327" t="str">
            <v>20-07-2026</v>
          </cell>
          <cell r="AC327" t="str">
            <v>Sin Aprobar</v>
          </cell>
        </row>
        <row r="328">
          <cell r="A328">
            <v>125</v>
          </cell>
          <cell r="B328" t="str">
            <v>28-11-2025</v>
          </cell>
          <cell r="C328" t="str">
            <v>03-12-2025</v>
          </cell>
          <cell r="D328" t="str">
            <v>COSCO SHIPPING VOLGA</v>
          </cell>
          <cell r="E328" t="str">
            <v>MARITIMO</v>
          </cell>
          <cell r="F328" t="str">
            <v>SANGO</v>
          </cell>
          <cell r="G328" t="str">
            <v>ZHEJIANG OHENG IMPORT &amp; EXPORT CO.,LTD.</v>
          </cell>
          <cell r="H328" t="str">
            <v>CEREZAS</v>
          </cell>
          <cell r="I328" t="str">
            <v>SANTINA /</v>
          </cell>
          <cell r="J328" t="str">
            <v>ALMAHUE EXPORT</v>
          </cell>
          <cell r="K328" t="str">
            <v>CONS-LIBRE</v>
          </cell>
          <cell r="L328" t="str">
            <v>FOB</v>
          </cell>
          <cell r="M328" t="str">
            <v>3640</v>
          </cell>
          <cell r="N328" t="str">
            <v>570932.00</v>
          </cell>
          <cell r="O328" t="str">
            <v>68931.10</v>
          </cell>
          <cell r="P328" t="str">
            <v>0.00</v>
          </cell>
          <cell r="Q328" t="str">
            <v>392811.18</v>
          </cell>
          <cell r="R328">
            <v>1665</v>
          </cell>
          <cell r="S328" t="str">
            <v>72800.00</v>
          </cell>
          <cell r="T328" t="str">
            <v>67,366,936</v>
          </cell>
          <cell r="U328" t="str">
            <v>499</v>
          </cell>
          <cell r="V328" t="str">
            <v>15305.00</v>
          </cell>
          <cell r="W328">
            <v>14162788</v>
          </cell>
          <cell r="X328" t="str">
            <v>13128326-1</v>
          </cell>
          <cell r="Y328" t="str">
            <v>13-12-2025</v>
          </cell>
          <cell r="Z328" t="str">
            <v>SI</v>
          </cell>
          <cell r="AA328" t="str">
            <v>SI</v>
          </cell>
          <cell r="AB328" t="str">
            <v>11-07-2026</v>
          </cell>
          <cell r="AC328" t="str">
            <v>Sin Aprobar</v>
          </cell>
        </row>
        <row r="329">
          <cell r="A329">
            <v>124</v>
          </cell>
          <cell r="B329" t="str">
            <v>28-11-2025</v>
          </cell>
          <cell r="C329" t="str">
            <v>03-12-2025</v>
          </cell>
          <cell r="D329" t="str">
            <v>COSCO SHIPPING VOLGA</v>
          </cell>
          <cell r="E329" t="str">
            <v>MARITIMO</v>
          </cell>
          <cell r="F329" t="str">
            <v>KINGO</v>
          </cell>
          <cell r="G329" t="str">
            <v>KINGO SHANGHAI CO.,LTD.</v>
          </cell>
          <cell r="H329" t="str">
            <v>CEREZAS</v>
          </cell>
          <cell r="I329" t="str">
            <v>SANTINA /</v>
          </cell>
          <cell r="J329" t="str">
            <v>ALMAHUE EXPORT</v>
          </cell>
          <cell r="K329" t="str">
            <v>CONS-LIBRE</v>
          </cell>
          <cell r="L329" t="str">
            <v>FOB</v>
          </cell>
          <cell r="M329" t="str">
            <v>3520</v>
          </cell>
          <cell r="N329" t="str">
            <v>771880.27</v>
          </cell>
          <cell r="O329" t="str">
            <v>68488.88</v>
          </cell>
          <cell r="P329" t="str">
            <v>0.00</v>
          </cell>
          <cell r="Q329" t="str">
            <v>569473.53</v>
          </cell>
          <cell r="R329">
            <v>1664</v>
          </cell>
          <cell r="S329" t="str">
            <v>70400.00</v>
          </cell>
          <cell r="T329" t="str">
            <v>65,146,048</v>
          </cell>
          <cell r="U329" t="str">
            <v>1318</v>
          </cell>
          <cell r="V329" t="str">
            <v>12953.00</v>
          </cell>
          <cell r="W329">
            <v>11986318</v>
          </cell>
          <cell r="X329" t="str">
            <v>13128319-9</v>
          </cell>
          <cell r="Y329" t="str">
            <v>13-12-2025</v>
          </cell>
          <cell r="Z329" t="str">
            <v>SI</v>
          </cell>
          <cell r="AA329" t="str">
            <v>SI</v>
          </cell>
          <cell r="AB329" t="str">
            <v>11-07-2026</v>
          </cell>
          <cell r="AC329" t="str">
            <v>Sin Aprobar</v>
          </cell>
        </row>
        <row r="330">
          <cell r="A330">
            <v>123</v>
          </cell>
          <cell r="B330" t="str">
            <v>28-11-2025</v>
          </cell>
          <cell r="C330" t="str">
            <v>03-12-2025</v>
          </cell>
          <cell r="D330" t="str">
            <v>COSCO SHIPPING VOLGA</v>
          </cell>
          <cell r="E330" t="str">
            <v>MARITIMO</v>
          </cell>
          <cell r="F330" t="str">
            <v>YOGO</v>
          </cell>
          <cell r="G330" t="str">
            <v>LUSHANG INTERNATIONAL TRADE CO., LTD.</v>
          </cell>
          <cell r="H330" t="str">
            <v>CEREZAS</v>
          </cell>
          <cell r="I330" t="str">
            <v>BROOKS / LAPINS / SANTINA /</v>
          </cell>
          <cell r="J330" t="str">
            <v>ALMAHUE EXPORT</v>
          </cell>
          <cell r="K330" t="str">
            <v>CONS-LIBRE</v>
          </cell>
          <cell r="L330" t="str">
            <v>FOB</v>
          </cell>
          <cell r="M330" t="str">
            <v>3584</v>
          </cell>
          <cell r="N330" t="str">
            <v>85616.06</v>
          </cell>
          <cell r="O330" t="str">
            <v>9626.72</v>
          </cell>
          <cell r="P330" t="str">
            <v>0.00</v>
          </cell>
          <cell r="Q330" t="str">
            <v>57683.39</v>
          </cell>
          <cell r="R330">
            <v>1663</v>
          </cell>
          <cell r="S330" t="str">
            <v>71680.00</v>
          </cell>
          <cell r="T330" t="str">
            <v>66,330,522</v>
          </cell>
          <cell r="U330" t="str">
            <v>498</v>
          </cell>
          <cell r="V330" t="str">
            <v>13997.00</v>
          </cell>
          <cell r="W330">
            <v>12952404</v>
          </cell>
          <cell r="X330" t="str">
            <v>13128308-3</v>
          </cell>
          <cell r="Y330" t="str">
            <v>13-12-2025</v>
          </cell>
          <cell r="Z330" t="str">
            <v>SI</v>
          </cell>
          <cell r="AA330" t="str">
            <v>SI</v>
          </cell>
          <cell r="AB330" t="str">
            <v>11-07-2026</v>
          </cell>
          <cell r="AC330" t="str">
            <v>Sin Aprobar</v>
          </cell>
        </row>
        <row r="331">
          <cell r="A331">
            <v>122</v>
          </cell>
          <cell r="B331" t="str">
            <v>28-11-2025</v>
          </cell>
          <cell r="C331" t="str">
            <v>03-12-2025</v>
          </cell>
          <cell r="D331" t="str">
            <v>COSCO SHIPPING VOLGA</v>
          </cell>
          <cell r="E331" t="str">
            <v>MARITIMO</v>
          </cell>
          <cell r="F331" t="str">
            <v>FRUITJOY</v>
          </cell>
          <cell r="G331" t="str">
            <v>SHANGHAI HUI ZHAN INTERNATIONAL TRADE CO., LTD</v>
          </cell>
          <cell r="H331" t="str">
            <v>CEREZAS</v>
          </cell>
          <cell r="I331" t="str">
            <v>LAPINS / SANTINA /</v>
          </cell>
          <cell r="J331" t="str">
            <v>ALMAHUE EXPORT</v>
          </cell>
          <cell r="K331" t="str">
            <v>CONS-LIBRE</v>
          </cell>
          <cell r="L331" t="str">
            <v>FOB</v>
          </cell>
          <cell r="M331" t="str">
            <v>3520</v>
          </cell>
          <cell r="N331" t="str">
            <v>113815.24</v>
          </cell>
          <cell r="O331" t="str">
            <v>9581.26</v>
          </cell>
          <cell r="P331" t="str">
            <v>0.00</v>
          </cell>
          <cell r="Q331" t="str">
            <v>83148.49</v>
          </cell>
          <cell r="R331">
            <v>1673</v>
          </cell>
          <cell r="S331" t="str">
            <v>70400.00</v>
          </cell>
          <cell r="T331" t="str">
            <v>65,146,048</v>
          </cell>
          <cell r="U331" t="str">
            <v>1317</v>
          </cell>
          <cell r="V331" t="str">
            <v>12748.00</v>
          </cell>
          <cell r="W331">
            <v>11796617</v>
          </cell>
          <cell r="X331" t="str">
            <v>13128306-7</v>
          </cell>
          <cell r="Y331" t="str">
            <v>13-12-2025</v>
          </cell>
          <cell r="Z331" t="str">
            <v>SI</v>
          </cell>
          <cell r="AA331" t="str">
            <v>SI</v>
          </cell>
          <cell r="AB331" t="str">
            <v>11-07-2026</v>
          </cell>
          <cell r="AC331" t="str">
            <v>Sin Aprobar</v>
          </cell>
        </row>
        <row r="332">
          <cell r="A332">
            <v>121</v>
          </cell>
          <cell r="B332" t="str">
            <v>03-12-2025</v>
          </cell>
          <cell r="C332" t="str">
            <v>06-12-2025</v>
          </cell>
          <cell r="D332" t="str">
            <v>CMA CGM BEIRA</v>
          </cell>
          <cell r="E332" t="str">
            <v>MARITIMO</v>
          </cell>
          <cell r="F332" t="str">
            <v>NORTH BAY</v>
          </cell>
          <cell r="G332" t="str">
            <v>NORTH BAY PRODUCE, INC.</v>
          </cell>
          <cell r="H332" t="str">
            <v>CEREZAS</v>
          </cell>
          <cell r="I332" t="str">
            <v>BING / SANTINA /</v>
          </cell>
          <cell r="J332" t="str">
            <v>ALMAHUE EXPORT</v>
          </cell>
          <cell r="K332" t="str">
            <v>CONS-LIBRE</v>
          </cell>
          <cell r="L332" t="str">
            <v>FOB</v>
          </cell>
          <cell r="M332" t="str">
            <v>3360</v>
          </cell>
          <cell r="N332" t="str">
            <v>105362.21</v>
          </cell>
          <cell r="O332" t="str">
            <v>8652.00</v>
          </cell>
          <cell r="P332" t="str">
            <v>0.00</v>
          </cell>
          <cell r="Q332" t="str">
            <v>75591.07</v>
          </cell>
          <cell r="R332">
            <v>1681</v>
          </cell>
          <cell r="S332" t="str">
            <v>67200.00</v>
          </cell>
          <cell r="T332" t="str">
            <v>61,699,680</v>
          </cell>
          <cell r="U332" t="str">
            <v>1316</v>
          </cell>
          <cell r="V332" t="str">
            <v>8391.00</v>
          </cell>
          <cell r="W332">
            <v>7704197</v>
          </cell>
          <cell r="X332" t="str">
            <v>13135407-K</v>
          </cell>
          <cell r="Y332" t="str">
            <v>11-12-2025</v>
          </cell>
          <cell r="Z332" t="str">
            <v>SI</v>
          </cell>
          <cell r="AA332" t="str">
            <v>SI</v>
          </cell>
          <cell r="AB332" t="str">
            <v>09-07-2026</v>
          </cell>
          <cell r="AC332" t="str">
            <v>Sin Aprobar</v>
          </cell>
        </row>
        <row r="333">
          <cell r="A333">
            <v>120</v>
          </cell>
          <cell r="B333" t="str">
            <v>29-11-2025</v>
          </cell>
          <cell r="C333" t="str">
            <v>02-12-2025</v>
          </cell>
          <cell r="D333" t="str">
            <v>MSC KATYAYNI VI</v>
          </cell>
          <cell r="E333" t="str">
            <v>MARITIMO</v>
          </cell>
          <cell r="F333" t="str">
            <v>DORLUNG</v>
          </cell>
          <cell r="G333" t="str">
            <v>SHENZHEN WEI CHENG LI DE TRADE CO.,LTD</v>
          </cell>
          <cell r="H333" t="str">
            <v>CEREZAS</v>
          </cell>
          <cell r="I333" t="str">
            <v>SANTINA /</v>
          </cell>
          <cell r="J333" t="str">
            <v>ALMAHUE EXPORT</v>
          </cell>
          <cell r="K333" t="str">
            <v>CONS-LIBRE</v>
          </cell>
          <cell r="L333" t="str">
            <v>FOB</v>
          </cell>
          <cell r="M333" t="str">
            <v>3520</v>
          </cell>
          <cell r="N333" t="str">
            <v>146461.52</v>
          </cell>
          <cell r="O333" t="str">
            <v>10278.00</v>
          </cell>
          <cell r="P333" t="str">
            <v>0.00</v>
          </cell>
          <cell r="Q333" t="str">
            <v>108717.47</v>
          </cell>
          <cell r="R333">
            <v>1662</v>
          </cell>
          <cell r="S333" t="str">
            <v>70400.00</v>
          </cell>
          <cell r="T333" t="str">
            <v>65,327,680</v>
          </cell>
          <cell r="U333" t="str">
            <v>1315</v>
          </cell>
          <cell r="V333" t="str">
            <v>38317.00</v>
          </cell>
          <cell r="W333">
            <v>35556260</v>
          </cell>
          <cell r="X333" t="str">
            <v>13130374-2</v>
          </cell>
          <cell r="Y333" t="str">
            <v>17-12-2025</v>
          </cell>
          <cell r="Z333" t="str">
            <v>SI</v>
          </cell>
          <cell r="AA333" t="str">
            <v>SI</v>
          </cell>
          <cell r="AB333" t="str">
            <v>15-07-2026</v>
          </cell>
          <cell r="AC333" t="str">
            <v>Sin Aprobar</v>
          </cell>
        </row>
        <row r="334">
          <cell r="A334">
            <v>119</v>
          </cell>
          <cell r="B334" t="str">
            <v>29-11-2025</v>
          </cell>
          <cell r="C334" t="str">
            <v>02-12-2025</v>
          </cell>
          <cell r="D334" t="str">
            <v>MSC KATYAYNI VI</v>
          </cell>
          <cell r="E334" t="str">
            <v>MARITIMO</v>
          </cell>
          <cell r="F334" t="str">
            <v>HING LEE</v>
          </cell>
          <cell r="G334" t="str">
            <v>SHENZHEN JINSHUN'AN INTERNATIONAL FREIGHT FORWARDING CO.,LTD</v>
          </cell>
          <cell r="H334" t="str">
            <v>CEREZAS</v>
          </cell>
          <cell r="I334" t="str">
            <v>BING /</v>
          </cell>
          <cell r="J334" t="str">
            <v>ALMAHUE EXPORT</v>
          </cell>
          <cell r="K334" t="str">
            <v>CONS-LIBRE</v>
          </cell>
          <cell r="L334" t="str">
            <v>FOB</v>
          </cell>
          <cell r="M334" t="str">
            <v>3536</v>
          </cell>
          <cell r="N334" t="str">
            <v>94766.70</v>
          </cell>
          <cell r="O334" t="str">
            <v>10269.56</v>
          </cell>
          <cell r="P334" t="str">
            <v>0.00</v>
          </cell>
          <cell r="Q334" t="str">
            <v>61177.27</v>
          </cell>
          <cell r="R334">
            <v>1659</v>
          </cell>
          <cell r="S334" t="str">
            <v>70720.00</v>
          </cell>
          <cell r="T334" t="str">
            <v>65,624,624</v>
          </cell>
          <cell r="U334" t="str">
            <v>497</v>
          </cell>
          <cell r="V334" t="str">
            <v>-9543.00</v>
          </cell>
          <cell r="W334">
            <v>-8855427</v>
          </cell>
          <cell r="X334" t="str">
            <v>13130357-2</v>
          </cell>
          <cell r="Y334" t="str">
            <v>17-12-2025</v>
          </cell>
          <cell r="Z334" t="str">
            <v>SI</v>
          </cell>
          <cell r="AA334" t="str">
            <v>SI</v>
          </cell>
          <cell r="AB334" t="str">
            <v>15-07-2026</v>
          </cell>
          <cell r="AC334" t="str">
            <v>Sin Aprobar</v>
          </cell>
        </row>
        <row r="335">
          <cell r="A335">
            <v>118</v>
          </cell>
          <cell r="B335" t="str">
            <v>28-11-2025</v>
          </cell>
          <cell r="C335" t="str">
            <v>02-12-2025</v>
          </cell>
          <cell r="D335" t="str">
            <v>MSC KATYAYNI VI</v>
          </cell>
          <cell r="E335" t="str">
            <v>MARITIMO</v>
          </cell>
          <cell r="F335" t="str">
            <v>HUASHENG</v>
          </cell>
          <cell r="G335" t="str">
            <v>CHUN WAN YI (GUANGZHOU) SUPPLY CHAIN MANAGEMENT CO., LTD</v>
          </cell>
          <cell r="H335" t="str">
            <v>CEREZAS</v>
          </cell>
          <cell r="I335" t="str">
            <v>SANTINA /</v>
          </cell>
          <cell r="J335" t="str">
            <v>ALMAHUE EXPORT</v>
          </cell>
          <cell r="K335" t="str">
            <v>CONS-LIBRE</v>
          </cell>
          <cell r="L335" t="str">
            <v>FOB</v>
          </cell>
          <cell r="M335" t="str">
            <v>3520</v>
          </cell>
          <cell r="N335" t="str">
            <v>118950.69</v>
          </cell>
          <cell r="O335" t="str">
            <v>10180.65</v>
          </cell>
          <cell r="P335" t="str">
            <v>0.00</v>
          </cell>
          <cell r="Q335" t="str">
            <v>86797.14</v>
          </cell>
          <cell r="R335">
            <v>1656</v>
          </cell>
          <cell r="S335" t="str">
            <v>70400.00</v>
          </cell>
          <cell r="T335" t="str">
            <v>65,327,680</v>
          </cell>
          <cell r="U335" t="str">
            <v>1314</v>
          </cell>
          <cell r="V335" t="str">
            <v>16397.00</v>
          </cell>
          <cell r="W335">
            <v>15215596</v>
          </cell>
          <cell r="X335" t="str">
            <v>13128232-K</v>
          </cell>
          <cell r="Y335" t="str">
            <v>18-12-2025</v>
          </cell>
          <cell r="Z335" t="str">
            <v>SI</v>
          </cell>
          <cell r="AA335" t="str">
            <v>SI</v>
          </cell>
          <cell r="AB335" t="str">
            <v>16-07-2026</v>
          </cell>
          <cell r="AC335" t="str">
            <v>Sin Aprobar</v>
          </cell>
        </row>
        <row r="336">
          <cell r="A336">
            <v>117</v>
          </cell>
          <cell r="B336" t="str">
            <v>28-11-2025</v>
          </cell>
          <cell r="C336" t="str">
            <v>02-12-2025</v>
          </cell>
          <cell r="D336" t="str">
            <v>MSC KATYAYNI VI</v>
          </cell>
          <cell r="E336" t="str">
            <v>MARITIMO</v>
          </cell>
          <cell r="F336" t="str">
            <v>DORLUNG</v>
          </cell>
          <cell r="G336" t="str">
            <v>SHENZHEN WEI CHENG LI DE TRADE CO.,LTD</v>
          </cell>
          <cell r="H336" t="str">
            <v>CEREZAS</v>
          </cell>
          <cell r="I336" t="str">
            <v>SANTINA /</v>
          </cell>
          <cell r="J336" t="str">
            <v>ALMAHUE EXPORT</v>
          </cell>
          <cell r="K336" t="str">
            <v>CONS-LIBRE</v>
          </cell>
          <cell r="L336" t="str">
            <v>FOB</v>
          </cell>
          <cell r="M336" t="str">
            <v>3520</v>
          </cell>
          <cell r="N336" t="str">
            <v>138955.34</v>
          </cell>
          <cell r="O336" t="str">
            <v>10278.00</v>
          </cell>
          <cell r="P336" t="str">
            <v>0.00</v>
          </cell>
          <cell r="Q336" t="str">
            <v>102660.54</v>
          </cell>
          <cell r="R336">
            <v>1658</v>
          </cell>
          <cell r="S336" t="str">
            <v>70400.00</v>
          </cell>
          <cell r="T336" t="str">
            <v>65,327,680</v>
          </cell>
          <cell r="U336" t="str">
            <v>1313</v>
          </cell>
          <cell r="V336" t="str">
            <v>32261.00</v>
          </cell>
          <cell r="W336">
            <v>29936595</v>
          </cell>
          <cell r="X336" t="str">
            <v>13125854-2</v>
          </cell>
          <cell r="Y336" t="str">
            <v>17-12-2025</v>
          </cell>
          <cell r="Z336" t="str">
            <v>SI</v>
          </cell>
          <cell r="AA336" t="str">
            <v>SI</v>
          </cell>
          <cell r="AB336" t="str">
            <v>15-07-2026</v>
          </cell>
          <cell r="AC336" t="str">
            <v>Sin Aprobar</v>
          </cell>
        </row>
        <row r="337">
          <cell r="A337">
            <v>116</v>
          </cell>
          <cell r="B337" t="str">
            <v>28-11-2025</v>
          </cell>
          <cell r="C337" t="str">
            <v>02-12-2025</v>
          </cell>
          <cell r="D337" t="str">
            <v>MSC KATYAYNI VI</v>
          </cell>
          <cell r="E337" t="str">
            <v>MARITIMO</v>
          </cell>
          <cell r="F337" t="str">
            <v>HING LEE</v>
          </cell>
          <cell r="G337" t="str">
            <v>SHENZHEN JINSHUN'AN INTERNATIONAL FREIGHT FORWARDING CO.,LTD</v>
          </cell>
          <cell r="H337" t="str">
            <v>CEREZAS</v>
          </cell>
          <cell r="I337" t="str">
            <v>LAPINS / SANTINA /</v>
          </cell>
          <cell r="J337" t="str">
            <v>ALMAHUE EXPORT</v>
          </cell>
          <cell r="K337" t="str">
            <v>CONS-LIBRE</v>
          </cell>
          <cell r="L337" t="str">
            <v>FOB</v>
          </cell>
          <cell r="M337" t="str">
            <v>3520</v>
          </cell>
          <cell r="N337" t="str">
            <v>95698.28</v>
          </cell>
          <cell r="O337" t="str">
            <v>10270.00</v>
          </cell>
          <cell r="P337" t="str">
            <v>0.00</v>
          </cell>
          <cell r="Q337" t="str">
            <v>61783.16</v>
          </cell>
          <cell r="R337">
            <v>1657</v>
          </cell>
          <cell r="S337" t="str">
            <v>70400.00</v>
          </cell>
          <cell r="T337" t="str">
            <v>65,327,680</v>
          </cell>
          <cell r="U337" t="str">
            <v>496</v>
          </cell>
          <cell r="V337" t="str">
            <v>-8617.00</v>
          </cell>
          <cell r="W337">
            <v>-7996145</v>
          </cell>
          <cell r="X337" t="str">
            <v>13125839-9</v>
          </cell>
          <cell r="Y337" t="str">
            <v>17-12-2025</v>
          </cell>
          <cell r="Z337" t="str">
            <v>SI</v>
          </cell>
          <cell r="AA337" t="str">
            <v>SI</v>
          </cell>
          <cell r="AB337" t="str">
            <v>15-07-2026</v>
          </cell>
          <cell r="AC337" t="str">
            <v>Sin Aprobar</v>
          </cell>
        </row>
        <row r="338">
          <cell r="A338">
            <v>115</v>
          </cell>
          <cell r="B338" t="str">
            <v>26-11-2025</v>
          </cell>
          <cell r="C338" t="str">
            <v>28-11-2025</v>
          </cell>
          <cell r="D338" t="str">
            <v>MARTINIQUE</v>
          </cell>
          <cell r="E338" t="str">
            <v>MARITIMO</v>
          </cell>
          <cell r="F338" t="str">
            <v>NORTH BAY</v>
          </cell>
          <cell r="G338" t="str">
            <v>NORTH BAY PRODUCE, INC.</v>
          </cell>
          <cell r="H338" t="str">
            <v>CEREZAS</v>
          </cell>
          <cell r="I338" t="str">
            <v>SANTINA /</v>
          </cell>
          <cell r="J338" t="str">
            <v>ALMAHUE EXPORT</v>
          </cell>
          <cell r="K338" t="str">
            <v>CONS-LIBRE</v>
          </cell>
          <cell r="L338" t="str">
            <v>FOB</v>
          </cell>
          <cell r="M338" t="str">
            <v>3360</v>
          </cell>
          <cell r="N338" t="str">
            <v>108638.88</v>
          </cell>
          <cell r="O338" t="str">
            <v>8652.00</v>
          </cell>
          <cell r="P338" t="str">
            <v>0.00</v>
          </cell>
          <cell r="Q338" t="str">
            <v>78191.49</v>
          </cell>
          <cell r="R338">
            <v>1629</v>
          </cell>
          <cell r="S338" t="str">
            <v>67200.00</v>
          </cell>
          <cell r="T338" t="str">
            <v>62,438,208</v>
          </cell>
          <cell r="U338" t="str">
            <v>1312</v>
          </cell>
          <cell r="V338" t="str">
            <v>10991.00</v>
          </cell>
          <cell r="W338">
            <v>10212178</v>
          </cell>
          <cell r="X338" t="str">
            <v>13118366-6</v>
          </cell>
          <cell r="Y338" t="str">
            <v>04-12-2025</v>
          </cell>
          <cell r="Z338" t="str">
            <v>SI</v>
          </cell>
          <cell r="AA338" t="str">
            <v>SI</v>
          </cell>
          <cell r="AB338" t="str">
            <v>02-07-2026</v>
          </cell>
          <cell r="AC338" t="str">
            <v>Sin Aprobar</v>
          </cell>
        </row>
        <row r="339">
          <cell r="A339">
            <v>114</v>
          </cell>
          <cell r="B339" t="str">
            <v>27-11-2025</v>
          </cell>
          <cell r="C339" t="str">
            <v>29-11-2025</v>
          </cell>
          <cell r="D339" t="str">
            <v>ITAJAI EXPRESS</v>
          </cell>
          <cell r="E339" t="str">
            <v>MARITIMO</v>
          </cell>
          <cell r="F339" t="str">
            <v>HING LEE</v>
          </cell>
          <cell r="G339" t="str">
            <v>SHENZHEN JINSHUN'AN INTERNATIONAL FREIGHT FORWARDING CO.,LTD</v>
          </cell>
          <cell r="H339" t="str">
            <v>CEREZAS</v>
          </cell>
          <cell r="I339" t="str">
            <v>SANTINA /</v>
          </cell>
          <cell r="J339" t="str">
            <v>ALMAHUE EXPORT</v>
          </cell>
          <cell r="K339" t="str">
            <v>CONS-LIBRE</v>
          </cell>
          <cell r="L339" t="str">
            <v>FOB</v>
          </cell>
          <cell r="M339" t="str">
            <v>3520</v>
          </cell>
          <cell r="N339" t="str">
            <v>155926.50</v>
          </cell>
          <cell r="O339" t="str">
            <v>10708.95</v>
          </cell>
          <cell r="P339" t="str">
            <v>0.00</v>
          </cell>
          <cell r="Q339" t="str">
            <v>114787.38</v>
          </cell>
          <cell r="R339">
            <v>1647</v>
          </cell>
          <cell r="S339" t="str">
            <v>70400.00</v>
          </cell>
          <cell r="T339" t="str">
            <v>65,411,456</v>
          </cell>
          <cell r="U339" t="str">
            <v>1311</v>
          </cell>
          <cell r="V339" t="str">
            <v>44387.00</v>
          </cell>
          <cell r="W339">
            <v>41241737</v>
          </cell>
          <cell r="X339" t="str">
            <v>13121266-6</v>
          </cell>
          <cell r="Y339" t="str">
            <v>10-12-2025</v>
          </cell>
          <cell r="Z339" t="str">
            <v>SI</v>
          </cell>
          <cell r="AA339" t="str">
            <v>SI</v>
          </cell>
          <cell r="AB339" t="str">
            <v>08-07-2026</v>
          </cell>
          <cell r="AC339" t="str">
            <v>Sin Aprobar</v>
          </cell>
        </row>
        <row r="340">
          <cell r="A340">
            <v>113</v>
          </cell>
          <cell r="B340" t="str">
            <v>27-11-2025</v>
          </cell>
          <cell r="C340" t="str">
            <v>02-12-2025</v>
          </cell>
          <cell r="D340" t="str">
            <v>MSC KATYAYNI VI</v>
          </cell>
          <cell r="E340" t="str">
            <v>MARITIMO</v>
          </cell>
          <cell r="F340" t="str">
            <v>SANGO</v>
          </cell>
          <cell r="G340" t="str">
            <v>ZHEJIANG OHENG IMPORT &amp; EXPORT CO.,LTD.</v>
          </cell>
          <cell r="H340" t="str">
            <v>CEREZAS</v>
          </cell>
          <cell r="I340" t="str">
            <v>SANTINA /</v>
          </cell>
          <cell r="J340" t="str">
            <v>ALMAHUE EXPORT</v>
          </cell>
          <cell r="K340" t="str">
            <v>CONS-LIBRE</v>
          </cell>
          <cell r="L340" t="str">
            <v>FOB</v>
          </cell>
          <cell r="M340" t="str">
            <v>3520</v>
          </cell>
          <cell r="N340" t="str">
            <v>689965.00</v>
          </cell>
          <cell r="O340" t="str">
            <v>69115.08</v>
          </cell>
          <cell r="P340" t="str">
            <v>0.00</v>
          </cell>
          <cell r="Q340" t="str">
            <v>484988.12</v>
          </cell>
          <cell r="R340">
            <v>1655</v>
          </cell>
          <cell r="S340" t="str">
            <v>70400.00</v>
          </cell>
          <cell r="T340" t="str">
            <v>65,327,680</v>
          </cell>
          <cell r="U340" t="str">
            <v>1310</v>
          </cell>
          <cell r="V340" t="str">
            <v>587.00</v>
          </cell>
          <cell r="W340">
            <v>544707</v>
          </cell>
          <cell r="X340" t="str">
            <v>13128152-8</v>
          </cell>
          <cell r="Y340" t="str">
            <v>17-12-2025</v>
          </cell>
          <cell r="Z340" t="str">
            <v>SI</v>
          </cell>
          <cell r="AA340" t="str">
            <v>SI</v>
          </cell>
          <cell r="AB340" t="str">
            <v>15-07-2026</v>
          </cell>
          <cell r="AC340" t="str">
            <v>Sin Aprobar</v>
          </cell>
        </row>
        <row r="341">
          <cell r="A341">
            <v>112</v>
          </cell>
          <cell r="B341" t="str">
            <v>27-11-2025</v>
          </cell>
          <cell r="C341" t="str">
            <v>29-11-2025</v>
          </cell>
          <cell r="D341" t="str">
            <v>ITAJAI EXPRESS</v>
          </cell>
          <cell r="E341" t="str">
            <v>MARITIMO</v>
          </cell>
          <cell r="F341" t="str">
            <v>YUERUN TRADING</v>
          </cell>
          <cell r="G341" t="str">
            <v>SHENZHEN FANYA XIANSHIHUI CO.,LTD</v>
          </cell>
          <cell r="H341" t="str">
            <v>CEREZAS</v>
          </cell>
          <cell r="I341" t="str">
            <v>SANTINA /</v>
          </cell>
          <cell r="J341" t="str">
            <v>ALMAHUE EXPORT</v>
          </cell>
          <cell r="K341" t="str">
            <v>CONS-LIBRE</v>
          </cell>
          <cell r="L341" t="str">
            <v>FOB</v>
          </cell>
          <cell r="M341" t="str">
            <v>3600</v>
          </cell>
          <cell r="N341" t="str">
            <v>665980.77</v>
          </cell>
          <cell r="O341" t="str">
            <v>75595.97</v>
          </cell>
          <cell r="P341" t="str">
            <v>0.00</v>
          </cell>
          <cell r="Q341" t="str">
            <v>478808.36</v>
          </cell>
          <cell r="R341">
            <v>1646</v>
          </cell>
          <cell r="S341" t="str">
            <v>72000.00</v>
          </cell>
          <cell r="T341" t="str">
            <v>66,898,080</v>
          </cell>
          <cell r="U341" t="str">
            <v>495</v>
          </cell>
          <cell r="V341" t="str">
            <v>-1918.00</v>
          </cell>
          <cell r="W341">
            <v>-1782091</v>
          </cell>
          <cell r="X341" t="str">
            <v>13121232-1</v>
          </cell>
          <cell r="Y341" t="str">
            <v>05-12-2025</v>
          </cell>
          <cell r="Z341" t="str">
            <v>SI</v>
          </cell>
          <cell r="AA341" t="str">
            <v>SI</v>
          </cell>
          <cell r="AB341" t="str">
            <v>03-07-2026</v>
          </cell>
          <cell r="AC341" t="str">
            <v>Sin Aprobar</v>
          </cell>
        </row>
        <row r="342">
          <cell r="A342">
            <v>111</v>
          </cell>
          <cell r="B342" t="str">
            <v>27-11-2025</v>
          </cell>
          <cell r="C342" t="str">
            <v>29-11-2025</v>
          </cell>
          <cell r="D342" t="str">
            <v>ITAJAI EXPRESS</v>
          </cell>
          <cell r="E342" t="str">
            <v>MARITIMO</v>
          </cell>
          <cell r="F342" t="str">
            <v>HUASHENG</v>
          </cell>
          <cell r="G342" t="str">
            <v>CHUN WAN YI (GUANGZHOU) SUPPLY CHAIN MANAGEMENT CO., LTD</v>
          </cell>
          <cell r="H342" t="str">
            <v>CEREZAS</v>
          </cell>
          <cell r="I342" t="str">
            <v>SANTINA /</v>
          </cell>
          <cell r="J342" t="str">
            <v>ALMAHUE EXPORT</v>
          </cell>
          <cell r="K342" t="str">
            <v>CONS-LIBRE</v>
          </cell>
          <cell r="L342" t="str">
            <v>FOB</v>
          </cell>
          <cell r="M342" t="str">
            <v>3336</v>
          </cell>
          <cell r="N342" t="str">
            <v>79910.09</v>
          </cell>
          <cell r="O342" t="str">
            <v>9705.19</v>
          </cell>
          <cell r="P342" t="str">
            <v>0.00</v>
          </cell>
          <cell r="Q342" t="str">
            <v>53443.17</v>
          </cell>
          <cell r="R342">
            <v>1642</v>
          </cell>
          <cell r="S342" t="str">
            <v>66720.00</v>
          </cell>
          <cell r="T342" t="str">
            <v>61,992,221</v>
          </cell>
          <cell r="U342" t="str">
            <v>494</v>
          </cell>
          <cell r="V342" t="str">
            <v>-13277.00</v>
          </cell>
          <cell r="W342">
            <v>-12336192</v>
          </cell>
          <cell r="X342" t="str">
            <v>13121598-3</v>
          </cell>
          <cell r="Y342" t="str">
            <v>05-12-2025</v>
          </cell>
          <cell r="Z342" t="str">
            <v>SI</v>
          </cell>
          <cell r="AA342" t="str">
            <v>SI</v>
          </cell>
          <cell r="AB342" t="str">
            <v>03-07-2026</v>
          </cell>
          <cell r="AC342" t="str">
            <v>Sin Aprobar</v>
          </cell>
        </row>
        <row r="343">
          <cell r="A343">
            <v>110</v>
          </cell>
          <cell r="B343" t="str">
            <v>27-11-2025</v>
          </cell>
          <cell r="C343" t="str">
            <v>29-11-2025</v>
          </cell>
          <cell r="D343" t="str">
            <v>ITAJAI EXPRESS</v>
          </cell>
          <cell r="E343" t="str">
            <v>MARITIMO</v>
          </cell>
          <cell r="F343" t="str">
            <v>PAGODA</v>
          </cell>
          <cell r="G343" t="str">
            <v>SHANGHAI HUI ZHAN INTERNATIONAL TRADE CO., LTD</v>
          </cell>
          <cell r="H343" t="str">
            <v>CEREZAS</v>
          </cell>
          <cell r="I343" t="str">
            <v>SANTINA /</v>
          </cell>
          <cell r="J343" t="str">
            <v>ALMAHUE EXPORT</v>
          </cell>
          <cell r="K343" t="str">
            <v>CONS-LIBRE</v>
          </cell>
          <cell r="L343" t="str">
            <v>FOB</v>
          </cell>
          <cell r="M343" t="str">
            <v>3520</v>
          </cell>
          <cell r="N343" t="str">
            <v>135731.75</v>
          </cell>
          <cell r="O343" t="str">
            <v>10176.17</v>
          </cell>
          <cell r="P343" t="str">
            <v>0.00</v>
          </cell>
          <cell r="Q343" t="str">
            <v>100358.83</v>
          </cell>
          <cell r="R343">
            <v>1641</v>
          </cell>
          <cell r="S343" t="str">
            <v>70400.00</v>
          </cell>
          <cell r="T343" t="str">
            <v>65,411,456</v>
          </cell>
          <cell r="U343" t="str">
            <v>1309</v>
          </cell>
          <cell r="V343" t="str">
            <v>29959.00</v>
          </cell>
          <cell r="W343">
            <v>27836105</v>
          </cell>
          <cell r="X343" t="str">
            <v>13119880-9</v>
          </cell>
          <cell r="Y343" t="str">
            <v>05-12-2025</v>
          </cell>
          <cell r="Z343" t="str">
            <v>SI</v>
          </cell>
          <cell r="AA343" t="str">
            <v>SI</v>
          </cell>
          <cell r="AB343" t="str">
            <v>03-07-2026</v>
          </cell>
          <cell r="AC343" t="str">
            <v>Sin Aprobar</v>
          </cell>
        </row>
        <row r="344">
          <cell r="A344">
            <v>109</v>
          </cell>
          <cell r="B344" t="str">
            <v>25-11-2025</v>
          </cell>
          <cell r="C344" t="str">
            <v>29-11-2025</v>
          </cell>
          <cell r="D344" t="str">
            <v>ITAJAI EXPRESS</v>
          </cell>
          <cell r="E344" t="str">
            <v>MARITIMO</v>
          </cell>
          <cell r="F344" t="str">
            <v>DORLUNG</v>
          </cell>
          <cell r="G344" t="str">
            <v>SHENZHEN WEI CHENG LI DE TRADE CO.,LTD</v>
          </cell>
          <cell r="H344" t="str">
            <v>CEREZAS</v>
          </cell>
          <cell r="I344" t="str">
            <v>SANTINA /</v>
          </cell>
          <cell r="J344" t="str">
            <v>ALMAHUE EXPORT</v>
          </cell>
          <cell r="K344" t="str">
            <v>CONS-LIBRE</v>
          </cell>
          <cell r="L344" t="str">
            <v>FOB</v>
          </cell>
          <cell r="M344" t="str">
            <v>3520</v>
          </cell>
          <cell r="N344" t="str">
            <v>126647.49</v>
          </cell>
          <cell r="O344" t="str">
            <v>10310.00</v>
          </cell>
          <cell r="P344" t="str">
            <v>0.00</v>
          </cell>
          <cell r="Q344" t="str">
            <v>93220.35</v>
          </cell>
          <cell r="R344">
            <v>1645</v>
          </cell>
          <cell r="S344" t="str">
            <v>70400.00</v>
          </cell>
          <cell r="T344" t="str">
            <v>65,411,456</v>
          </cell>
          <cell r="U344" t="str">
            <v>1308</v>
          </cell>
          <cell r="V344" t="str">
            <v>22820.00</v>
          </cell>
          <cell r="W344">
            <v>21202975</v>
          </cell>
          <cell r="X344" t="str">
            <v>13116643-5</v>
          </cell>
          <cell r="Y344" t="str">
            <v>09-12-2025</v>
          </cell>
          <cell r="Z344" t="str">
            <v>SI</v>
          </cell>
          <cell r="AA344" t="str">
            <v>SI</v>
          </cell>
          <cell r="AB344" t="str">
            <v>07-07-2026</v>
          </cell>
          <cell r="AC344" t="str">
            <v>Sin Aprobar</v>
          </cell>
        </row>
        <row r="345">
          <cell r="A345">
            <v>108</v>
          </cell>
          <cell r="B345" t="str">
            <v>27-11-2025</v>
          </cell>
          <cell r="C345" t="str">
            <v>29-11-2025</v>
          </cell>
          <cell r="D345" t="str">
            <v>ITAJAI EXPRESS</v>
          </cell>
          <cell r="E345" t="str">
            <v>MARITIMO</v>
          </cell>
          <cell r="F345" t="str">
            <v>KINGO</v>
          </cell>
          <cell r="G345" t="str">
            <v>SHENZHEN FANYA XIANSHIHUI CO.,LTD</v>
          </cell>
          <cell r="H345" t="str">
            <v>CEREZAS</v>
          </cell>
          <cell r="I345" t="str">
            <v>SANTINA /</v>
          </cell>
          <cell r="J345" t="str">
            <v>ALMAHUE EXPORT</v>
          </cell>
          <cell r="K345" t="str">
            <v>CONS-LIBRE</v>
          </cell>
          <cell r="L345" t="str">
            <v>FOB</v>
          </cell>
          <cell r="M345" t="str">
            <v>3520</v>
          </cell>
          <cell r="N345" t="str">
            <v>921138.24</v>
          </cell>
          <cell r="O345" t="str">
            <v>69208.58</v>
          </cell>
          <cell r="P345" t="str">
            <v>0.00</v>
          </cell>
          <cell r="Q345" t="str">
            <v>677061.88</v>
          </cell>
          <cell r="R345">
            <v>1640</v>
          </cell>
          <cell r="S345" t="str">
            <v>70400.00</v>
          </cell>
          <cell r="T345" t="str">
            <v>65,411,456</v>
          </cell>
          <cell r="U345" t="str">
            <v>1307</v>
          </cell>
          <cell r="V345" t="str">
            <v>28700.00</v>
          </cell>
          <cell r="W345">
            <v>26666318</v>
          </cell>
          <cell r="X345" t="str">
            <v>13121567-3</v>
          </cell>
          <cell r="Y345" t="str">
            <v>09-12-2025</v>
          </cell>
          <cell r="Z345" t="str">
            <v>SI</v>
          </cell>
          <cell r="AA345" t="str">
            <v>SI</v>
          </cell>
          <cell r="AB345" t="str">
            <v>07-07-2026</v>
          </cell>
          <cell r="AC345" t="str">
            <v>Sin Aprobar</v>
          </cell>
        </row>
        <row r="346">
          <cell r="A346">
            <v>107</v>
          </cell>
          <cell r="B346" t="str">
            <v>26-11-2025</v>
          </cell>
          <cell r="C346" t="str">
            <v>29-11-2025</v>
          </cell>
          <cell r="D346" t="str">
            <v>ITAJAI EXPRESS</v>
          </cell>
          <cell r="E346" t="str">
            <v>MARITIMO</v>
          </cell>
          <cell r="F346" t="str">
            <v>YOGO</v>
          </cell>
          <cell r="G346" t="str">
            <v>HONGKONG YILAI SUPPLY CHAIN MANAGEMENT LIMITED</v>
          </cell>
          <cell r="H346" t="str">
            <v>CEREZAS</v>
          </cell>
          <cell r="I346" t="str">
            <v>SANTINA /</v>
          </cell>
          <cell r="J346" t="str">
            <v>ALMAHUE EXPORT</v>
          </cell>
          <cell r="K346" t="str">
            <v>CONS-LIBRE</v>
          </cell>
          <cell r="L346" t="str">
            <v>FOB</v>
          </cell>
          <cell r="M346" t="str">
            <v>3544</v>
          </cell>
          <cell r="N346" t="str">
            <v>89179.72</v>
          </cell>
          <cell r="O346" t="str">
            <v>9921.76</v>
          </cell>
          <cell r="P346" t="str">
            <v>0.00</v>
          </cell>
          <cell r="Q346" t="str">
            <v>60072.38</v>
          </cell>
          <cell r="R346">
            <v>1639</v>
          </cell>
          <cell r="S346" t="str">
            <v>70880.00</v>
          </cell>
          <cell r="T346" t="str">
            <v>65,857,443</v>
          </cell>
          <cell r="U346" t="str">
            <v>493</v>
          </cell>
          <cell r="V346" t="str">
            <v>-10808.00</v>
          </cell>
          <cell r="W346">
            <v>-10042145</v>
          </cell>
          <cell r="X346" t="str">
            <v>13120558-9</v>
          </cell>
          <cell r="Y346" t="str">
            <v>09-12-2025</v>
          </cell>
          <cell r="Z346" t="str">
            <v>SI</v>
          </cell>
          <cell r="AA346" t="str">
            <v>SI</v>
          </cell>
          <cell r="AB346" t="str">
            <v>07-07-2026</v>
          </cell>
          <cell r="AC346" t="str">
            <v>Sin Aprobar</v>
          </cell>
        </row>
        <row r="347">
          <cell r="A347">
            <v>106</v>
          </cell>
          <cell r="B347" t="str">
            <v>27-11-2025</v>
          </cell>
          <cell r="C347" t="str">
            <v>29-11-2025</v>
          </cell>
          <cell r="D347" t="str">
            <v>ITAJAI EXPRESS</v>
          </cell>
          <cell r="E347" t="str">
            <v>MARITIMO</v>
          </cell>
          <cell r="F347" t="str">
            <v>HING LEE</v>
          </cell>
          <cell r="G347" t="str">
            <v>SHENZHEN JINSHUN'AN INTERNATIONAL FREIGHT FORWARDING CO.,LTD</v>
          </cell>
          <cell r="H347" t="str">
            <v>CEREZAS</v>
          </cell>
          <cell r="I347" t="str">
            <v>LAPINS /</v>
          </cell>
          <cell r="J347" t="str">
            <v>ALMAHUE EXPORT</v>
          </cell>
          <cell r="K347" t="str">
            <v>CONS-LIBRE</v>
          </cell>
          <cell r="L347" t="str">
            <v>FOB</v>
          </cell>
          <cell r="M347" t="str">
            <v>3520</v>
          </cell>
          <cell r="N347" t="str">
            <v>143487.41</v>
          </cell>
          <cell r="O347" t="str">
            <v>10479.76</v>
          </cell>
          <cell r="P347" t="str">
            <v>0.00</v>
          </cell>
          <cell r="Q347" t="str">
            <v>103565.22</v>
          </cell>
          <cell r="R347">
            <v>1652</v>
          </cell>
          <cell r="S347" t="str">
            <v>70400.00</v>
          </cell>
          <cell r="T347" t="str">
            <v>65,411,456</v>
          </cell>
          <cell r="U347" t="str">
            <v>1306</v>
          </cell>
          <cell r="V347" t="str">
            <v>33165.00</v>
          </cell>
          <cell r="W347">
            <v>30814928</v>
          </cell>
          <cell r="X347" t="str">
            <v>13119789-6</v>
          </cell>
          <cell r="Y347" t="str">
            <v>05-12-2025</v>
          </cell>
          <cell r="Z347" t="str">
            <v>SI</v>
          </cell>
          <cell r="AA347" t="str">
            <v>SI</v>
          </cell>
          <cell r="AB347" t="str">
            <v>03-07-2026</v>
          </cell>
          <cell r="AC347" t="str">
            <v>Sin Aprobar</v>
          </cell>
        </row>
        <row r="348">
          <cell r="A348">
            <v>105</v>
          </cell>
          <cell r="B348" t="str">
            <v>27-11-2025</v>
          </cell>
          <cell r="C348" t="str">
            <v>29-11-2025</v>
          </cell>
          <cell r="D348" t="str">
            <v>ITAJAI EXPRESS</v>
          </cell>
          <cell r="E348" t="str">
            <v>MARITIMO</v>
          </cell>
          <cell r="F348" t="str">
            <v>JINSHENG</v>
          </cell>
          <cell r="G348" t="str">
            <v>CHUN WAN YI (GUANGZHOU) SUPPLY CHAIN MANAGEMENT CO., LTD</v>
          </cell>
          <cell r="H348" t="str">
            <v>CEREZAS</v>
          </cell>
          <cell r="I348" t="str">
            <v>SANTINA /</v>
          </cell>
          <cell r="J348" t="str">
            <v>ALMAHUE EXPORT</v>
          </cell>
          <cell r="K348" t="str">
            <v>CONS-LIBRE</v>
          </cell>
          <cell r="L348" t="str">
            <v>FOB</v>
          </cell>
          <cell r="M348" t="str">
            <v>3520</v>
          </cell>
          <cell r="N348" t="str">
            <v>123491.10</v>
          </cell>
          <cell r="O348" t="str">
            <v>10632.00</v>
          </cell>
          <cell r="P348" t="str">
            <v>0.00</v>
          </cell>
          <cell r="Q348" t="str">
            <v>85707.95</v>
          </cell>
          <cell r="R348">
            <v>1638</v>
          </cell>
          <cell r="S348" t="str">
            <v>70400.00</v>
          </cell>
          <cell r="T348" t="str">
            <v>65,411,456</v>
          </cell>
          <cell r="U348" t="str">
            <v>1305</v>
          </cell>
          <cell r="V348" t="str">
            <v>15308.00</v>
          </cell>
          <cell r="W348">
            <v>14223275</v>
          </cell>
          <cell r="X348" t="str">
            <v>13119935-K</v>
          </cell>
          <cell r="Y348" t="str">
            <v>05-12-2025</v>
          </cell>
          <cell r="Z348" t="str">
            <v>SI</v>
          </cell>
          <cell r="AA348" t="str">
            <v>SI</v>
          </cell>
          <cell r="AB348" t="str">
            <v>03-07-2026</v>
          </cell>
          <cell r="AC348" t="str">
            <v>Sin Aprobar</v>
          </cell>
        </row>
        <row r="349">
          <cell r="A349">
            <v>104</v>
          </cell>
          <cell r="B349" t="str">
            <v>27-11-2025</v>
          </cell>
          <cell r="C349" t="str">
            <v>29-11-2025</v>
          </cell>
          <cell r="D349" t="str">
            <v>ITAJAI EXPRESS</v>
          </cell>
          <cell r="E349" t="str">
            <v>MARITIMO</v>
          </cell>
          <cell r="F349" t="str">
            <v>AARTSEN</v>
          </cell>
          <cell r="G349" t="str">
            <v>SHENZHEN OHENG IMPORT &amp; EXPORT CO., LTD</v>
          </cell>
          <cell r="H349" t="str">
            <v>CEREZAS</v>
          </cell>
          <cell r="I349" t="str">
            <v>SANTINA /</v>
          </cell>
          <cell r="J349" t="str">
            <v>ALMAHUE EXPORT</v>
          </cell>
          <cell r="K349" t="str">
            <v>CONS-LIBRE</v>
          </cell>
          <cell r="L349" t="str">
            <v>FOB</v>
          </cell>
          <cell r="M349" t="str">
            <v>3520</v>
          </cell>
          <cell r="N349" t="str">
            <v>165874.54</v>
          </cell>
          <cell r="O349" t="str">
            <v>10300.81</v>
          </cell>
          <cell r="P349" t="str">
            <v>0.00</v>
          </cell>
          <cell r="Q349" t="str">
            <v>131790.30</v>
          </cell>
          <cell r="R349">
            <v>1651</v>
          </cell>
          <cell r="S349" t="str">
            <v>70400.00</v>
          </cell>
          <cell r="T349" t="str">
            <v>65,411,456</v>
          </cell>
          <cell r="U349" t="str">
            <v>1304</v>
          </cell>
          <cell r="V349" t="str">
            <v>61390.00</v>
          </cell>
          <cell r="W349">
            <v>57039905</v>
          </cell>
          <cell r="X349" t="str">
            <v>13119826-4</v>
          </cell>
          <cell r="Y349" t="str">
            <v>05-12-2025</v>
          </cell>
          <cell r="Z349" t="str">
            <v>SI</v>
          </cell>
          <cell r="AA349" t="str">
            <v>SI</v>
          </cell>
          <cell r="AB349" t="str">
            <v>03-07-2026</v>
          </cell>
          <cell r="AC349" t="str">
            <v>Sin Aprobar</v>
          </cell>
        </row>
        <row r="350">
          <cell r="A350">
            <v>103</v>
          </cell>
          <cell r="B350" t="str">
            <v>26-11-2025</v>
          </cell>
          <cell r="C350" t="str">
            <v>29-11-2025</v>
          </cell>
          <cell r="D350" t="str">
            <v>ITAJAI EXPRESS</v>
          </cell>
          <cell r="E350" t="str">
            <v>MARITIMO</v>
          </cell>
          <cell r="F350" t="str">
            <v>SUNHOLA</v>
          </cell>
          <cell r="G350" t="str">
            <v>HUBEI SHOUHENG SUPPLY CHAIN MANAGEMENT CO. , LTD</v>
          </cell>
          <cell r="H350" t="str">
            <v>CEREZAS</v>
          </cell>
          <cell r="I350" t="str">
            <v>SANTINA /</v>
          </cell>
          <cell r="J350" t="str">
            <v>ALMAHUE EXPORT</v>
          </cell>
          <cell r="K350" t="str">
            <v>CONS-LIBRE</v>
          </cell>
          <cell r="L350" t="str">
            <v>FOB</v>
          </cell>
          <cell r="M350" t="str">
            <v>3520</v>
          </cell>
          <cell r="N350" t="str">
            <v>1127740.00</v>
          </cell>
          <cell r="O350" t="str">
            <v>74529.46</v>
          </cell>
          <cell r="P350" t="str">
            <v>0.00</v>
          </cell>
          <cell r="Q350" t="str">
            <v>857047.30</v>
          </cell>
          <cell r="R350">
            <v>1650</v>
          </cell>
          <cell r="S350" t="str">
            <v>70400.00</v>
          </cell>
          <cell r="T350" t="str">
            <v>65,411,456</v>
          </cell>
          <cell r="U350" t="str">
            <v>1303</v>
          </cell>
          <cell r="V350" t="str">
            <v>55044.00</v>
          </cell>
          <cell r="W350">
            <v>51143582</v>
          </cell>
          <cell r="X350" t="str">
            <v>13120662-3</v>
          </cell>
          <cell r="Y350" t="str">
            <v>11-12-2025</v>
          </cell>
          <cell r="Z350" t="str">
            <v>SI</v>
          </cell>
          <cell r="AA350" t="str">
            <v>SI</v>
          </cell>
          <cell r="AB350" t="str">
            <v>09-07-2026</v>
          </cell>
          <cell r="AC350" t="str">
            <v>Sin Aprobar</v>
          </cell>
        </row>
        <row r="351">
          <cell r="A351">
            <v>102</v>
          </cell>
          <cell r="B351" t="str">
            <v>27-11-2025</v>
          </cell>
          <cell r="C351" t="str">
            <v>29-11-2025</v>
          </cell>
          <cell r="D351" t="str">
            <v>ITAJAI EXPRESS</v>
          </cell>
          <cell r="E351" t="str">
            <v>MARITIMO</v>
          </cell>
          <cell r="F351" t="str">
            <v>CHEN SUN</v>
          </cell>
          <cell r="G351" t="str">
            <v>LUSHANG INTERNATIONAL TRADE CO., LTD.</v>
          </cell>
          <cell r="H351" t="str">
            <v>CEREZAS</v>
          </cell>
          <cell r="I351" t="str">
            <v>SANTINA /</v>
          </cell>
          <cell r="J351" t="str">
            <v>ALMAHUE EXPORT</v>
          </cell>
          <cell r="K351" t="str">
            <v>CONS-LIBRE</v>
          </cell>
          <cell r="L351" t="str">
            <v>FOB</v>
          </cell>
          <cell r="M351" t="str">
            <v>3520</v>
          </cell>
          <cell r="N351" t="str">
            <v>903200.67</v>
          </cell>
          <cell r="O351" t="str">
            <v>74083.00</v>
          </cell>
          <cell r="P351" t="str">
            <v>0.00</v>
          </cell>
          <cell r="Q351" t="str">
            <v>625180.63</v>
          </cell>
          <cell r="R351">
            <v>1649</v>
          </cell>
          <cell r="S351" t="str">
            <v>70400.00</v>
          </cell>
          <cell r="T351" t="str">
            <v>65,411,456</v>
          </cell>
          <cell r="U351" t="str">
            <v>1302</v>
          </cell>
          <cell r="V351" t="str">
            <v>21106.00</v>
          </cell>
          <cell r="W351">
            <v>19610429</v>
          </cell>
          <cell r="X351" t="str">
            <v>13121361-1</v>
          </cell>
          <cell r="Y351" t="str">
            <v>09-12-2025</v>
          </cell>
          <cell r="Z351" t="str">
            <v>SI</v>
          </cell>
          <cell r="AA351" t="str">
            <v>SI</v>
          </cell>
          <cell r="AB351" t="str">
            <v>07-07-2026</v>
          </cell>
          <cell r="AC351" t="str">
            <v>Sin Aprobar</v>
          </cell>
        </row>
        <row r="352">
          <cell r="A352">
            <v>101</v>
          </cell>
          <cell r="B352" t="str">
            <v>26-11-2025</v>
          </cell>
          <cell r="C352" t="str">
            <v>29-11-2025</v>
          </cell>
          <cell r="D352" t="str">
            <v>ITAJAI EXPRESS</v>
          </cell>
          <cell r="E352" t="str">
            <v>MARITIMO</v>
          </cell>
          <cell r="F352" t="str">
            <v>SANGO</v>
          </cell>
          <cell r="G352" t="str">
            <v>ZHEJIANG OHENG IMPORT &amp; EXPORT CO.,LTD.</v>
          </cell>
          <cell r="H352" t="str">
            <v>CEREZAS</v>
          </cell>
          <cell r="I352" t="str">
            <v>SANTINA /</v>
          </cell>
          <cell r="J352" t="str">
            <v>ALMAHUE EXPORT</v>
          </cell>
          <cell r="K352" t="str">
            <v>CONS-LIBRE</v>
          </cell>
          <cell r="L352" t="str">
            <v>FOB</v>
          </cell>
          <cell r="M352" t="str">
            <v>3520</v>
          </cell>
          <cell r="N352" t="str">
            <v>1256720.00</v>
          </cell>
          <cell r="O352" t="str">
            <v>72162.35</v>
          </cell>
          <cell r="P352" t="str">
            <v>0.00</v>
          </cell>
          <cell r="Q352" t="str">
            <v>980760.20</v>
          </cell>
          <cell r="R352">
            <v>1637</v>
          </cell>
          <cell r="S352" t="str">
            <v>70400.00</v>
          </cell>
          <cell r="T352" t="str">
            <v>65,411,456</v>
          </cell>
          <cell r="U352" t="str">
            <v>1301</v>
          </cell>
          <cell r="V352" t="str">
            <v>73152.00</v>
          </cell>
          <cell r="W352">
            <v>67968449</v>
          </cell>
          <cell r="X352" t="str">
            <v>13119963-5</v>
          </cell>
          <cell r="Y352" t="str">
            <v>05-12-2025</v>
          </cell>
          <cell r="Z352" t="str">
            <v>SI</v>
          </cell>
          <cell r="AA352" t="str">
            <v>SI</v>
          </cell>
          <cell r="AB352" t="str">
            <v>03-07-2026</v>
          </cell>
          <cell r="AC352" t="str">
            <v>Sin Aprobar</v>
          </cell>
        </row>
        <row r="353">
          <cell r="A353">
            <v>100</v>
          </cell>
          <cell r="B353" t="str">
            <v>25-11-2025</v>
          </cell>
          <cell r="C353" t="str">
            <v>29-11-2025</v>
          </cell>
          <cell r="D353" t="str">
            <v>ITAJAI EXPRESS</v>
          </cell>
          <cell r="E353" t="str">
            <v>MARITIMO</v>
          </cell>
          <cell r="F353" t="str">
            <v>YUERUN TRADING</v>
          </cell>
          <cell r="G353" t="str">
            <v>SHENZHEN FANYA XIANSHIHUI CO.,LTD</v>
          </cell>
          <cell r="H353" t="str">
            <v>CEREZAS</v>
          </cell>
          <cell r="I353" t="str">
            <v>SANTINA /</v>
          </cell>
          <cell r="J353" t="str">
            <v>ALMAHUE EXPORT</v>
          </cell>
          <cell r="K353" t="str">
            <v>CONS-LIBRE</v>
          </cell>
          <cell r="L353" t="str">
            <v>FOB</v>
          </cell>
          <cell r="M353" t="str">
            <v>3520</v>
          </cell>
          <cell r="N353" t="str">
            <v>1108525.44</v>
          </cell>
          <cell r="O353" t="str">
            <v>69881.06</v>
          </cell>
          <cell r="P353" t="str">
            <v>0.00</v>
          </cell>
          <cell r="Q353" t="str">
            <v>863305.38</v>
          </cell>
          <cell r="R353">
            <v>1644</v>
          </cell>
          <cell r="S353" t="str">
            <v>70400.00</v>
          </cell>
          <cell r="T353" t="str">
            <v>65,411,456</v>
          </cell>
          <cell r="U353" t="str">
            <v>1300</v>
          </cell>
          <cell r="V353" t="str">
            <v>55960.00</v>
          </cell>
          <cell r="W353">
            <v>51994674</v>
          </cell>
          <cell r="X353" t="str">
            <v>13118218-K</v>
          </cell>
          <cell r="Y353" t="str">
            <v>09-12-2025</v>
          </cell>
          <cell r="Z353" t="str">
            <v>SI</v>
          </cell>
          <cell r="AA353" t="str">
            <v>SI</v>
          </cell>
          <cell r="AB353" t="str">
            <v>07-07-2026</v>
          </cell>
          <cell r="AC353" t="str">
            <v>Sin Aprobar</v>
          </cell>
        </row>
        <row r="354">
          <cell r="A354">
            <v>99</v>
          </cell>
          <cell r="B354" t="str">
            <v>25-11-2025</v>
          </cell>
          <cell r="C354" t="str">
            <v>29-11-2025</v>
          </cell>
          <cell r="D354" t="str">
            <v>ITAJAI EXPRESS</v>
          </cell>
          <cell r="E354" t="str">
            <v>MARITIMO</v>
          </cell>
          <cell r="F354" t="str">
            <v>HUASHENG</v>
          </cell>
          <cell r="G354" t="str">
            <v>CHUN WAN YI (GUANGZHOU) SUPPLY CHAIN MANAGEMENT CO., LTD</v>
          </cell>
          <cell r="H354" t="str">
            <v>CEREZAS</v>
          </cell>
          <cell r="I354" t="str">
            <v>ROYAL DAWN / SANTINA /</v>
          </cell>
          <cell r="J354" t="str">
            <v>ALMAHUE EXPORT</v>
          </cell>
          <cell r="K354" t="str">
            <v>CONS-LIBRE</v>
          </cell>
          <cell r="L354" t="str">
            <v>FOB</v>
          </cell>
          <cell r="M354" t="str">
            <v>3528</v>
          </cell>
          <cell r="N354" t="str">
            <v>121664.80</v>
          </cell>
          <cell r="O354" t="str">
            <v>10200.42</v>
          </cell>
          <cell r="P354" t="str">
            <v>0.00</v>
          </cell>
          <cell r="Q354" t="str">
            <v>88352.72</v>
          </cell>
          <cell r="R354">
            <v>1636</v>
          </cell>
          <cell r="S354" t="str">
            <v>70560.00</v>
          </cell>
          <cell r="T354" t="str">
            <v>65,560,118</v>
          </cell>
          <cell r="U354" t="str">
            <v>1299</v>
          </cell>
          <cell r="V354" t="str">
            <v>17793.00</v>
          </cell>
          <cell r="W354">
            <v>16532188</v>
          </cell>
          <cell r="X354" t="str">
            <v>13116572-2</v>
          </cell>
          <cell r="Y354" t="str">
            <v>09-12-2025</v>
          </cell>
          <cell r="Z354" t="str">
            <v>SI</v>
          </cell>
          <cell r="AA354" t="str">
            <v>SI</v>
          </cell>
          <cell r="AB354" t="str">
            <v>07-07-2026</v>
          </cell>
          <cell r="AC354" t="str">
            <v>Sin Aprobar</v>
          </cell>
        </row>
        <row r="355">
          <cell r="A355">
            <v>98</v>
          </cell>
          <cell r="B355" t="str">
            <v>26-11-2025</v>
          </cell>
          <cell r="C355" t="str">
            <v>29-11-2025</v>
          </cell>
          <cell r="D355" t="str">
            <v>ITAJAI EXPRESS</v>
          </cell>
          <cell r="E355" t="str">
            <v>MARITIMO</v>
          </cell>
          <cell r="F355" t="str">
            <v>PAGODA</v>
          </cell>
          <cell r="G355" t="str">
            <v>SHANGHAI HUI ZHAN INTERNATIONAL TRADE CO., LTD</v>
          </cell>
          <cell r="H355" t="str">
            <v>CEREZAS</v>
          </cell>
          <cell r="I355" t="str">
            <v>SANTINA /</v>
          </cell>
          <cell r="J355" t="str">
            <v>ALMAHUE EXPORT</v>
          </cell>
          <cell r="K355" t="str">
            <v>CONS-LIBRE</v>
          </cell>
          <cell r="L355" t="str">
            <v>FOB</v>
          </cell>
          <cell r="M355" t="str">
            <v>3520</v>
          </cell>
          <cell r="N355" t="str">
            <v>134558.34</v>
          </cell>
          <cell r="O355" t="str">
            <v>10176.17</v>
          </cell>
          <cell r="P355" t="str">
            <v>0.00</v>
          </cell>
          <cell r="Q355" t="str">
            <v>102520.16</v>
          </cell>
          <cell r="R355">
            <v>1635</v>
          </cell>
          <cell r="S355" t="str">
            <v>70400.00</v>
          </cell>
          <cell r="T355" t="str">
            <v>65,411,456</v>
          </cell>
          <cell r="U355" t="str">
            <v>1298</v>
          </cell>
          <cell r="V355" t="str">
            <v>32120.00</v>
          </cell>
          <cell r="W355">
            <v>29843977</v>
          </cell>
          <cell r="X355" t="str">
            <v>13120005-6</v>
          </cell>
          <cell r="Y355" t="str">
            <v>09-12-2025</v>
          </cell>
          <cell r="Z355" t="str">
            <v>SI</v>
          </cell>
          <cell r="AA355" t="str">
            <v>SI</v>
          </cell>
          <cell r="AB355" t="str">
            <v>07-07-2026</v>
          </cell>
          <cell r="AC355" t="str">
            <v>Sin Aprobar</v>
          </cell>
        </row>
        <row r="356">
          <cell r="A356">
            <v>97</v>
          </cell>
          <cell r="B356" t="str">
            <v>27-11-2025</v>
          </cell>
          <cell r="C356" t="str">
            <v>29-11-2025</v>
          </cell>
          <cell r="D356" t="str">
            <v>ITAJAI EXPRESS</v>
          </cell>
          <cell r="E356" t="str">
            <v>MARITIMO</v>
          </cell>
          <cell r="F356" t="str">
            <v>DORLUNG</v>
          </cell>
          <cell r="G356" t="str">
            <v>SHENZHEN WEI CHENG LI DE TRADE CO.,LTD</v>
          </cell>
          <cell r="H356" t="str">
            <v>CEREZAS</v>
          </cell>
          <cell r="I356" t="str">
            <v>SANTINA /</v>
          </cell>
          <cell r="J356" t="str">
            <v>ALMAHUE EXPORT</v>
          </cell>
          <cell r="K356" t="str">
            <v>CONS-LIBRE</v>
          </cell>
          <cell r="L356" t="str">
            <v>FOB</v>
          </cell>
          <cell r="M356" t="str">
            <v>3520</v>
          </cell>
          <cell r="N356" t="str">
            <v>133321.17</v>
          </cell>
          <cell r="O356" t="str">
            <v>10110.00</v>
          </cell>
          <cell r="P356" t="str">
            <v>0.00</v>
          </cell>
          <cell r="Q356" t="str">
            <v>98570.15</v>
          </cell>
          <cell r="R356">
            <v>1648</v>
          </cell>
          <cell r="S356" t="str">
            <v>70400.00</v>
          </cell>
          <cell r="T356" t="str">
            <v>65,411,456</v>
          </cell>
          <cell r="U356" t="str">
            <v>1297</v>
          </cell>
          <cell r="V356" t="str">
            <v>28170.00</v>
          </cell>
          <cell r="W356">
            <v>26173874</v>
          </cell>
          <cell r="X356" t="str">
            <v>13119850-7</v>
          </cell>
          <cell r="Y356" t="str">
            <v>09-12-2025</v>
          </cell>
          <cell r="Z356" t="str">
            <v>SI</v>
          </cell>
          <cell r="AA356" t="str">
            <v>SI</v>
          </cell>
          <cell r="AB356" t="str">
            <v>07-07-2026</v>
          </cell>
          <cell r="AC356" t="str">
            <v>Sin Aprobar</v>
          </cell>
        </row>
        <row r="357">
          <cell r="A357">
            <v>96</v>
          </cell>
          <cell r="B357" t="str">
            <v>25-11-2025</v>
          </cell>
          <cell r="C357" t="str">
            <v>29-11-2025</v>
          </cell>
          <cell r="D357" t="str">
            <v>ITAJAI EXPRESS</v>
          </cell>
          <cell r="E357" t="str">
            <v>MARITIMO</v>
          </cell>
          <cell r="F357" t="str">
            <v>KINGO</v>
          </cell>
          <cell r="G357" t="str">
            <v>SHENZHEN FANYA XIANSHIHUI CO.,LTD</v>
          </cell>
          <cell r="H357" t="str">
            <v>CEREZAS</v>
          </cell>
          <cell r="I357" t="str">
            <v>SANTINA /</v>
          </cell>
          <cell r="J357" t="str">
            <v>ALMAHUE EXPORT</v>
          </cell>
          <cell r="K357" t="str">
            <v>CONS-LIBRE</v>
          </cell>
          <cell r="L357" t="str">
            <v>FOB</v>
          </cell>
          <cell r="M357" t="str">
            <v>3520</v>
          </cell>
          <cell r="N357" t="str">
            <v>1240810.53</v>
          </cell>
          <cell r="O357" t="str">
            <v>72739.63</v>
          </cell>
          <cell r="P357" t="str">
            <v>0.00</v>
          </cell>
          <cell r="Q357" t="str">
            <v>954898.56</v>
          </cell>
          <cell r="R357">
            <v>1634</v>
          </cell>
          <cell r="S357" t="str">
            <v>70400.00</v>
          </cell>
          <cell r="T357" t="str">
            <v>65,411,456</v>
          </cell>
          <cell r="U357" t="str">
            <v>1296</v>
          </cell>
          <cell r="V357" t="str">
            <v>69366.00</v>
          </cell>
          <cell r="W357">
            <v>64450725</v>
          </cell>
          <cell r="X357" t="str">
            <v>13116620-6</v>
          </cell>
          <cell r="Y357" t="str">
            <v>09-12-2025</v>
          </cell>
          <cell r="Z357" t="str">
            <v>SI</v>
          </cell>
          <cell r="AA357" t="str">
            <v>SI</v>
          </cell>
          <cell r="AB357" t="str">
            <v>07-07-2026</v>
          </cell>
          <cell r="AC357" t="str">
            <v>Sin Aprobar</v>
          </cell>
        </row>
        <row r="358">
          <cell r="A358">
            <v>95</v>
          </cell>
          <cell r="B358" t="str">
            <v>25-11-2025</v>
          </cell>
          <cell r="C358" t="str">
            <v>29-11-2025</v>
          </cell>
          <cell r="D358" t="str">
            <v>ITAJAI EXPRESS</v>
          </cell>
          <cell r="E358" t="str">
            <v>MARITIMO</v>
          </cell>
          <cell r="F358" t="str">
            <v>YOGO</v>
          </cell>
          <cell r="G358" t="str">
            <v>LUSHANG INTERNATIONAL TRADE CO., LTD.</v>
          </cell>
          <cell r="H358" t="str">
            <v>CEREZAS</v>
          </cell>
          <cell r="I358" t="str">
            <v>SANTINA /</v>
          </cell>
          <cell r="J358" t="str">
            <v>ALMAHUE EXPORT</v>
          </cell>
          <cell r="K358" t="str">
            <v>CONS-LIBRE</v>
          </cell>
          <cell r="L358" t="str">
            <v>FOB</v>
          </cell>
          <cell r="M358" t="str">
            <v>3520</v>
          </cell>
          <cell r="N358" t="str">
            <v>135432.18</v>
          </cell>
          <cell r="O358" t="str">
            <v>10260.29</v>
          </cell>
          <cell r="P358" t="str">
            <v>0.00</v>
          </cell>
          <cell r="Q358" t="str">
            <v>99454.98</v>
          </cell>
          <cell r="R358">
            <v>1633</v>
          </cell>
          <cell r="S358" t="str">
            <v>70400.00</v>
          </cell>
          <cell r="T358" t="str">
            <v>65,411,456</v>
          </cell>
          <cell r="U358" t="str">
            <v>1294</v>
          </cell>
          <cell r="V358" t="str">
            <v>29055.00</v>
          </cell>
          <cell r="W358">
            <v>26996163</v>
          </cell>
          <cell r="X358" t="str">
            <v>13116580-3</v>
          </cell>
          <cell r="Y358" t="str">
            <v>09-12-2025</v>
          </cell>
          <cell r="Z358" t="str">
            <v>SI</v>
          </cell>
          <cell r="AA358" t="str">
            <v>SI</v>
          </cell>
          <cell r="AB358" t="str">
            <v>07-07-2026</v>
          </cell>
          <cell r="AC358" t="str">
            <v>Sin Aprobar</v>
          </cell>
        </row>
        <row r="359">
          <cell r="A359">
            <v>94</v>
          </cell>
          <cell r="B359" t="str">
            <v>25-11-2025</v>
          </cell>
          <cell r="C359" t="str">
            <v>29-11-2025</v>
          </cell>
          <cell r="D359" t="str">
            <v>ITAJAI EXPRESS</v>
          </cell>
          <cell r="E359" t="str">
            <v>MARITIMO</v>
          </cell>
          <cell r="F359" t="str">
            <v>HING LEE</v>
          </cell>
          <cell r="G359" t="str">
            <v>SHENZHEN JINSHUN'AN INTERNATIONAL FREIGHT FORWARDING CO.,LTD</v>
          </cell>
          <cell r="H359" t="str">
            <v>CEREZAS</v>
          </cell>
          <cell r="I359" t="str">
            <v>SANTINA /</v>
          </cell>
          <cell r="J359" t="str">
            <v>ALMAHUE EXPORT</v>
          </cell>
          <cell r="K359" t="str">
            <v>CONS-LIBRE</v>
          </cell>
          <cell r="L359" t="str">
            <v>FOB</v>
          </cell>
          <cell r="M359" t="str">
            <v>3520</v>
          </cell>
          <cell r="N359" t="str">
            <v>97967.60</v>
          </cell>
          <cell r="O359" t="str">
            <v>9775.00</v>
          </cell>
          <cell r="P359" t="str">
            <v>0.00</v>
          </cell>
          <cell r="Q359" t="str">
            <v>63516.54</v>
          </cell>
          <cell r="R359">
            <v>1643</v>
          </cell>
          <cell r="S359" t="str">
            <v>70400.00</v>
          </cell>
          <cell r="T359" t="str">
            <v>65,411,456</v>
          </cell>
          <cell r="U359" t="str">
            <v>491</v>
          </cell>
          <cell r="V359" t="str">
            <v>-6883.00</v>
          </cell>
          <cell r="W359">
            <v>-6395271</v>
          </cell>
          <cell r="X359" t="str">
            <v>13117842-5</v>
          </cell>
          <cell r="Y359" t="str">
            <v>10-12-2025</v>
          </cell>
          <cell r="Z359" t="str">
            <v>SI</v>
          </cell>
          <cell r="AA359" t="str">
            <v>SI</v>
          </cell>
          <cell r="AB359" t="str">
            <v>08-07-2026</v>
          </cell>
          <cell r="AC359" t="str">
            <v>Sin Aprobar</v>
          </cell>
        </row>
        <row r="360">
          <cell r="A360">
            <v>93</v>
          </cell>
          <cell r="B360" t="str">
            <v>27-11-2025</v>
          </cell>
          <cell r="C360" t="str">
            <v>02-12-2025</v>
          </cell>
          <cell r="D360" t="str">
            <v>MSC KATYAYNI VI</v>
          </cell>
          <cell r="E360" t="str">
            <v>MARITIMO</v>
          </cell>
          <cell r="F360" t="str">
            <v>XINGWAN</v>
          </cell>
          <cell r="G360" t="str">
            <v>SHENZHEN OHENG IMPORT &amp; EXPORT CO.,LTD.</v>
          </cell>
          <cell r="H360" t="str">
            <v>CEREZAS</v>
          </cell>
          <cell r="I360" t="str">
            <v>BROOKS / LAPINS / SANTINA /</v>
          </cell>
          <cell r="J360" t="str">
            <v>ALMAHUE EXPORT</v>
          </cell>
          <cell r="K360" t="str">
            <v>CONS-LIBRE</v>
          </cell>
          <cell r="L360" t="str">
            <v>FOB</v>
          </cell>
          <cell r="M360" t="str">
            <v>3616</v>
          </cell>
          <cell r="N360" t="str">
            <v>646180.00</v>
          </cell>
          <cell r="O360" t="str">
            <v>72644.18</v>
          </cell>
          <cell r="P360" t="str">
            <v>0.00</v>
          </cell>
          <cell r="Q360" t="str">
            <v>428494.83</v>
          </cell>
          <cell r="R360">
            <v>1654</v>
          </cell>
          <cell r="S360" t="str">
            <v>72320.00</v>
          </cell>
          <cell r="T360" t="str">
            <v>67,109,344</v>
          </cell>
          <cell r="U360" t="str">
            <v>490</v>
          </cell>
          <cell r="V360" t="str">
            <v>-9602.00</v>
          </cell>
          <cell r="W360">
            <v>-8910176</v>
          </cell>
          <cell r="X360" t="str">
            <v>13128234-6</v>
          </cell>
          <cell r="Y360" t="str">
            <v>16-12-2025</v>
          </cell>
          <cell r="Z360" t="str">
            <v>SI</v>
          </cell>
          <cell r="AA360" t="str">
            <v>SI</v>
          </cell>
          <cell r="AB360" t="str">
            <v>14-07-2026</v>
          </cell>
          <cell r="AC360" t="str">
            <v>Sin Aprobar</v>
          </cell>
        </row>
        <row r="361">
          <cell r="A361">
            <v>92</v>
          </cell>
          <cell r="B361" t="str">
            <v>27-11-2025</v>
          </cell>
          <cell r="C361" t="str">
            <v>02-12-2025</v>
          </cell>
          <cell r="D361" t="str">
            <v>MSC KATYAYNI VI</v>
          </cell>
          <cell r="E361" t="str">
            <v>MARITIMO</v>
          </cell>
          <cell r="F361" t="str">
            <v>WUHAN CCMAX FRUITS CO., LTD</v>
          </cell>
          <cell r="G361" t="str">
            <v>OPTIMIZE INTEGRATION GROUP INC</v>
          </cell>
          <cell r="H361" t="str">
            <v>CEREZAS</v>
          </cell>
          <cell r="I361" t="str">
            <v>SANTINA /</v>
          </cell>
          <cell r="J361" t="str">
            <v>ALMAHUE EXPORT</v>
          </cell>
          <cell r="K361" t="str">
            <v>CONS-LIBRE</v>
          </cell>
          <cell r="L361" t="str">
            <v>FOB</v>
          </cell>
          <cell r="M361" t="str">
            <v>3520</v>
          </cell>
          <cell r="N361" t="str">
            <v>131635.81</v>
          </cell>
          <cell r="O361" t="str">
            <v>10016.63</v>
          </cell>
          <cell r="P361" t="str">
            <v>0.00</v>
          </cell>
          <cell r="Q361" t="str">
            <v>94041.08</v>
          </cell>
          <cell r="R361">
            <v>1661</v>
          </cell>
          <cell r="S361" t="str">
            <v>70400.00</v>
          </cell>
          <cell r="T361" t="str">
            <v>65,327,680</v>
          </cell>
          <cell r="U361" t="str">
            <v>1293</v>
          </cell>
          <cell r="V361" t="str">
            <v>23641.00</v>
          </cell>
          <cell r="W361">
            <v>21937666</v>
          </cell>
          <cell r="X361" t="str">
            <v>13128174-9</v>
          </cell>
          <cell r="Y361" t="str">
            <v>16-12-2025</v>
          </cell>
          <cell r="Z361" t="str">
            <v>SI</v>
          </cell>
          <cell r="AA361" t="str">
            <v>SI</v>
          </cell>
          <cell r="AB361" t="str">
            <v>14-07-2026</v>
          </cell>
          <cell r="AC361" t="str">
            <v>Sin Aprobar</v>
          </cell>
        </row>
        <row r="362">
          <cell r="A362">
            <v>91</v>
          </cell>
          <cell r="B362" t="str">
            <v>27-11-2025</v>
          </cell>
          <cell r="C362" t="str">
            <v>02-12-2025</v>
          </cell>
          <cell r="D362" t="str">
            <v>MSC KATYAYNI VI</v>
          </cell>
          <cell r="E362" t="str">
            <v>MARITIMO</v>
          </cell>
          <cell r="F362" t="str">
            <v>FRUITJOY</v>
          </cell>
          <cell r="G362" t="str">
            <v>ZHIYOU FRESH (SHENZHEN) CO.,LTD</v>
          </cell>
          <cell r="H362" t="str">
            <v>CEREZAS</v>
          </cell>
          <cell r="I362" t="str">
            <v>SANTINA /</v>
          </cell>
          <cell r="J362" t="str">
            <v>ALMAHUE EXPORT</v>
          </cell>
          <cell r="K362" t="str">
            <v>CONS-LIBRE</v>
          </cell>
          <cell r="L362" t="str">
            <v>FOB</v>
          </cell>
          <cell r="M362" t="str">
            <v>3520</v>
          </cell>
          <cell r="N362" t="str">
            <v>104210.31</v>
          </cell>
          <cell r="O362" t="str">
            <v>10115.97</v>
          </cell>
          <cell r="P362" t="str">
            <v>0.00</v>
          </cell>
          <cell r="Q362" t="str">
            <v>73380.32</v>
          </cell>
          <cell r="R362">
            <v>1660</v>
          </cell>
          <cell r="S362" t="str">
            <v>70400.00</v>
          </cell>
          <cell r="T362" t="str">
            <v>65,327,680</v>
          </cell>
          <cell r="U362" t="str">
            <v>1292</v>
          </cell>
          <cell r="V362" t="str">
            <v>2980.00</v>
          </cell>
          <cell r="W362">
            <v>2765291</v>
          </cell>
          <cell r="X362" t="str">
            <v>13128192-7</v>
          </cell>
          <cell r="Y362" t="str">
            <v>16-12-2025</v>
          </cell>
          <cell r="Z362" t="str">
            <v>SI</v>
          </cell>
          <cell r="AA362" t="str">
            <v>SI</v>
          </cell>
          <cell r="AB362" t="str">
            <v>14-07-2026</v>
          </cell>
          <cell r="AC362" t="str">
            <v>Sin Aprobar</v>
          </cell>
        </row>
        <row r="363">
          <cell r="A363">
            <v>90</v>
          </cell>
          <cell r="B363" t="str">
            <v>27-11-2025</v>
          </cell>
          <cell r="C363" t="str">
            <v>02-12-2025</v>
          </cell>
          <cell r="D363" t="str">
            <v>MSC KATYAYNI VI</v>
          </cell>
          <cell r="E363" t="str">
            <v>MARITIMO</v>
          </cell>
          <cell r="F363" t="str">
            <v>ZEGOO</v>
          </cell>
          <cell r="G363" t="str">
            <v>ZHEJIANG OHENG IMPORT &amp; EXPORT CO., LTD.</v>
          </cell>
          <cell r="H363" t="str">
            <v>CEREZAS</v>
          </cell>
          <cell r="I363" t="str">
            <v>SANTINA /</v>
          </cell>
          <cell r="J363" t="str">
            <v>ALMAHUE EXPORT</v>
          </cell>
          <cell r="K363" t="str">
            <v>CONS-LIBRE</v>
          </cell>
          <cell r="L363" t="str">
            <v>FOB</v>
          </cell>
          <cell r="M363" t="str">
            <v>3520</v>
          </cell>
          <cell r="N363" t="str">
            <v>1045240.00</v>
          </cell>
          <cell r="O363" t="str">
            <v>72644.18</v>
          </cell>
          <cell r="P363" t="str">
            <v>0.00</v>
          </cell>
          <cell r="Q363" t="str">
            <v>802934.16</v>
          </cell>
          <cell r="R363">
            <v>1653</v>
          </cell>
          <cell r="S363" t="str">
            <v>70400.00</v>
          </cell>
          <cell r="T363" t="str">
            <v>65,327,680</v>
          </cell>
          <cell r="U363" t="str">
            <v>1291</v>
          </cell>
          <cell r="V363" t="str">
            <v>47124.00</v>
          </cell>
          <cell r="W363">
            <v>43728716</v>
          </cell>
          <cell r="X363" t="str">
            <v>13128210-9</v>
          </cell>
          <cell r="Y363" t="str">
            <v>17-12-2025</v>
          </cell>
          <cell r="Z363" t="str">
            <v>SI</v>
          </cell>
          <cell r="AA363" t="str">
            <v>SI</v>
          </cell>
          <cell r="AB363" t="str">
            <v>15-07-2026</v>
          </cell>
          <cell r="AC363" t="str">
            <v>Sin Aprobar</v>
          </cell>
        </row>
        <row r="364">
          <cell r="A364">
            <v>89</v>
          </cell>
          <cell r="B364" t="str">
            <v>26-11-2025</v>
          </cell>
          <cell r="C364" t="str">
            <v>29-11-2025</v>
          </cell>
          <cell r="D364" t="str">
            <v>MSC MONTSERRAT III</v>
          </cell>
          <cell r="E364" t="str">
            <v>MARITIMO</v>
          </cell>
          <cell r="F364" t="str">
            <v>XINGWAN</v>
          </cell>
          <cell r="G364" t="str">
            <v>ZHEJIANG OHENG IMPORT &amp; EXPORT CO.,LTD.</v>
          </cell>
          <cell r="H364" t="str">
            <v>CEREZAS</v>
          </cell>
          <cell r="I364" t="str">
            <v>SANTINA /</v>
          </cell>
          <cell r="J364" t="str">
            <v>ALMAHUE EXPORT</v>
          </cell>
          <cell r="K364" t="str">
            <v>CONS-LIBRE</v>
          </cell>
          <cell r="L364" t="str">
            <v>FOB</v>
          </cell>
          <cell r="M364" t="str">
            <v>3520</v>
          </cell>
          <cell r="N364" t="str">
            <v>865037.89</v>
          </cell>
          <cell r="O364" t="str">
            <v>70714.00</v>
          </cell>
          <cell r="P364" t="str">
            <v>0.00</v>
          </cell>
          <cell r="Q364" t="str">
            <v>647387.91</v>
          </cell>
          <cell r="R364">
            <v>1632</v>
          </cell>
          <cell r="S364" t="str">
            <v>70400.00</v>
          </cell>
          <cell r="T364" t="str">
            <v>65,411,456</v>
          </cell>
          <cell r="U364" t="str">
            <v>1290</v>
          </cell>
          <cell r="V364" t="str">
            <v>24357.00</v>
          </cell>
          <cell r="W364">
            <v>22631063</v>
          </cell>
          <cell r="X364" t="str">
            <v>13120274-1</v>
          </cell>
          <cell r="Y364" t="str">
            <v>09-12-2025</v>
          </cell>
          <cell r="Z364" t="str">
            <v>SI</v>
          </cell>
          <cell r="AA364" t="str">
            <v>SI</v>
          </cell>
          <cell r="AB364" t="str">
            <v>07-07-2026</v>
          </cell>
          <cell r="AC364" t="str">
            <v>Sin Aprobar</v>
          </cell>
        </row>
        <row r="365">
          <cell r="A365">
            <v>88</v>
          </cell>
          <cell r="B365" t="str">
            <v>25-11-2025</v>
          </cell>
          <cell r="C365" t="str">
            <v>29-11-2025</v>
          </cell>
          <cell r="D365" t="str">
            <v>MSC MONTSERRAT III</v>
          </cell>
          <cell r="E365" t="str">
            <v>MARITIMO</v>
          </cell>
          <cell r="F365" t="str">
            <v>WUHAN CCMAX FRUITS CO., LTD</v>
          </cell>
          <cell r="G365" t="str">
            <v>OPTIMIZE INTEGRATION GROUP INC</v>
          </cell>
          <cell r="H365" t="str">
            <v>CEREZAS</v>
          </cell>
          <cell r="I365" t="str">
            <v>SANTINA /</v>
          </cell>
          <cell r="J365" t="str">
            <v>ALMAHUE EXPORT</v>
          </cell>
          <cell r="K365" t="str">
            <v>CONS-LIBRE</v>
          </cell>
          <cell r="L365" t="str">
            <v>FOB</v>
          </cell>
          <cell r="M365" t="str">
            <v>3520</v>
          </cell>
          <cell r="N365" t="str">
            <v>127409.92</v>
          </cell>
          <cell r="O365" t="str">
            <v>10401.90</v>
          </cell>
          <cell r="P365" t="str">
            <v>0.00</v>
          </cell>
          <cell r="Q365" t="str">
            <v>92331.62</v>
          </cell>
          <cell r="R365">
            <v>1631</v>
          </cell>
          <cell r="S365" t="str">
            <v>70400.00</v>
          </cell>
          <cell r="T365" t="str">
            <v>65,411,456</v>
          </cell>
          <cell r="U365" t="str">
            <v>1289</v>
          </cell>
          <cell r="V365" t="str">
            <v>21932.00</v>
          </cell>
          <cell r="W365">
            <v>20377898</v>
          </cell>
          <cell r="X365" t="str">
            <v>13119324-6</v>
          </cell>
          <cell r="Y365" t="str">
            <v>10-12-2025</v>
          </cell>
          <cell r="Z365" t="str">
            <v>SI</v>
          </cell>
          <cell r="AA365" t="str">
            <v>SI</v>
          </cell>
          <cell r="AB365" t="str">
            <v>08-07-2026</v>
          </cell>
          <cell r="AC365" t="str">
            <v>Sin Aprobar</v>
          </cell>
        </row>
        <row r="366">
          <cell r="A366">
            <v>87</v>
          </cell>
          <cell r="B366" t="str">
            <v>25-11-2025</v>
          </cell>
          <cell r="C366" t="str">
            <v>29-11-2025</v>
          </cell>
          <cell r="D366" t="str">
            <v>MSC MONTSERRAT III</v>
          </cell>
          <cell r="E366" t="str">
            <v>MARITIMO</v>
          </cell>
          <cell r="F366" t="str">
            <v>FRUITJOY</v>
          </cell>
          <cell r="G366" t="str">
            <v>OPTIMIZE INTEGRATION GROUP INC</v>
          </cell>
          <cell r="H366" t="str">
            <v>CEREZAS</v>
          </cell>
          <cell r="I366" t="str">
            <v>BROOKS / SANTINA /</v>
          </cell>
          <cell r="J366" t="str">
            <v>ALMAHUE EXPORT</v>
          </cell>
          <cell r="K366" t="str">
            <v>CONS-LIBRE</v>
          </cell>
          <cell r="L366" t="str">
            <v>FOB</v>
          </cell>
          <cell r="M366" t="str">
            <v>3608</v>
          </cell>
          <cell r="N366" t="str">
            <v>90389.90</v>
          </cell>
          <cell r="O366" t="str">
            <v>9828.25</v>
          </cell>
          <cell r="P366" t="str">
            <v>0.00</v>
          </cell>
          <cell r="Q366" t="str">
            <v>63865.99</v>
          </cell>
          <cell r="R366">
            <v>1630</v>
          </cell>
          <cell r="S366" t="str">
            <v>72160.00</v>
          </cell>
          <cell r="T366" t="str">
            <v>67,046,742</v>
          </cell>
          <cell r="U366" t="str">
            <v>489</v>
          </cell>
          <cell r="V366" t="str">
            <v>-8294.00</v>
          </cell>
          <cell r="W366">
            <v>-7706287</v>
          </cell>
          <cell r="X366" t="str">
            <v>13119321-1</v>
          </cell>
          <cell r="Y366" t="str">
            <v>05-12-2025</v>
          </cell>
          <cell r="Z366" t="str">
            <v>SI</v>
          </cell>
          <cell r="AA366" t="str">
            <v>SI</v>
          </cell>
          <cell r="AB366" t="str">
            <v>03-07-2026</v>
          </cell>
          <cell r="AC366" t="str">
            <v>Sin Aprobar</v>
          </cell>
        </row>
        <row r="367">
          <cell r="A367">
            <v>86</v>
          </cell>
          <cell r="B367" t="str">
            <v>24-11-2025</v>
          </cell>
          <cell r="C367" t="str">
            <v>26-11-2025</v>
          </cell>
          <cell r="D367" t="str">
            <v>MSC CARMELA</v>
          </cell>
          <cell r="E367" t="str">
            <v>MARITIMO</v>
          </cell>
          <cell r="F367" t="str">
            <v>KINGO</v>
          </cell>
          <cell r="G367" t="str">
            <v>SHENZHEN FANYA XIANSHIHUI CO.,LTD</v>
          </cell>
          <cell r="H367" t="str">
            <v>CEREZAS</v>
          </cell>
          <cell r="I367" t="str">
            <v>SANTINA /</v>
          </cell>
          <cell r="J367" t="str">
            <v>ALMAHUE EXPORT</v>
          </cell>
          <cell r="K367" t="str">
            <v>CONS-LIBRE</v>
          </cell>
          <cell r="L367" t="str">
            <v>FOB</v>
          </cell>
          <cell r="M367" t="str">
            <v>3520</v>
          </cell>
          <cell r="N367" t="str">
            <v>1084885.88</v>
          </cell>
          <cell r="O367" t="str">
            <v>72736.54</v>
          </cell>
          <cell r="P367" t="str">
            <v>0.00</v>
          </cell>
          <cell r="Q367" t="str">
            <v>824232.59</v>
          </cell>
          <cell r="R367">
            <v>1628</v>
          </cell>
          <cell r="S367" t="str">
            <v>70400.00</v>
          </cell>
          <cell r="T367" t="str">
            <v>65,975,360</v>
          </cell>
          <cell r="U367" t="str">
            <v>1262</v>
          </cell>
          <cell r="V367" t="str">
            <v>50241.00</v>
          </cell>
          <cell r="W367">
            <v>47083353</v>
          </cell>
          <cell r="X367" t="str">
            <v>13113427-4</v>
          </cell>
          <cell r="Y367" t="str">
            <v>05-12-2025</v>
          </cell>
          <cell r="Z367" t="str">
            <v>SI</v>
          </cell>
          <cell r="AA367" t="str">
            <v>SI</v>
          </cell>
          <cell r="AB367" t="str">
            <v>03-07-2026</v>
          </cell>
          <cell r="AC367" t="str">
            <v>Sin Aprobar</v>
          </cell>
        </row>
        <row r="368">
          <cell r="A368">
            <v>85</v>
          </cell>
          <cell r="B368" t="str">
            <v>22-11-2025</v>
          </cell>
          <cell r="C368" t="str">
            <v>26-11-2025</v>
          </cell>
          <cell r="D368" t="str">
            <v>MSC CARMELA</v>
          </cell>
          <cell r="E368" t="str">
            <v>MARITIMO</v>
          </cell>
          <cell r="F368" t="str">
            <v>HING LEE</v>
          </cell>
          <cell r="G368" t="str">
            <v>SHENZHEN JINSHUN'AN INTERNATIONAL FREIGHT FORWARDING CO.,LTD</v>
          </cell>
          <cell r="H368" t="str">
            <v>CEREZAS</v>
          </cell>
          <cell r="I368" t="str">
            <v>SANTINA /</v>
          </cell>
          <cell r="J368" t="str">
            <v>ALMAHUE EXPORT</v>
          </cell>
          <cell r="K368" t="str">
            <v>CONS-LIBRE</v>
          </cell>
          <cell r="L368" t="str">
            <v>FOB</v>
          </cell>
          <cell r="M368" t="str">
            <v>3520</v>
          </cell>
          <cell r="N368" t="str">
            <v>145414.90</v>
          </cell>
          <cell r="O368" t="str">
            <v>10300.00</v>
          </cell>
          <cell r="P368" t="str">
            <v>0.00</v>
          </cell>
          <cell r="Q368" t="str">
            <v>108227.26</v>
          </cell>
          <cell r="R368">
            <v>1608</v>
          </cell>
          <cell r="S368" t="str">
            <v>70400.00</v>
          </cell>
          <cell r="T368" t="str">
            <v>65,975,360</v>
          </cell>
          <cell r="U368" t="str">
            <v>1288</v>
          </cell>
          <cell r="V368" t="str">
            <v>37827.00</v>
          </cell>
          <cell r="W368">
            <v>35449573</v>
          </cell>
          <cell r="X368" t="str">
            <v>13110650-5</v>
          </cell>
          <cell r="Y368" t="str">
            <v>09-12-2025</v>
          </cell>
          <cell r="Z368" t="str">
            <v>SI</v>
          </cell>
          <cell r="AA368" t="str">
            <v>SI</v>
          </cell>
          <cell r="AB368" t="str">
            <v>07-07-2026</v>
          </cell>
          <cell r="AC368" t="str">
            <v>Sin Aprobar</v>
          </cell>
        </row>
        <row r="369">
          <cell r="A369">
            <v>84</v>
          </cell>
          <cell r="B369" t="str">
            <v>24-11-2025</v>
          </cell>
          <cell r="C369" t="str">
            <v>26-11-2025</v>
          </cell>
          <cell r="D369" t="str">
            <v>MSC CARMELA</v>
          </cell>
          <cell r="E369" t="str">
            <v>MARITIMO</v>
          </cell>
          <cell r="F369" t="str">
            <v>FRUITJOY</v>
          </cell>
          <cell r="G369" t="str">
            <v>SHANGHAI HUI ZHAN INTERNATIONAL TRADE CO., LTD</v>
          </cell>
          <cell r="H369" t="str">
            <v>CEREZAS</v>
          </cell>
          <cell r="I369" t="str">
            <v>SANTINA /</v>
          </cell>
          <cell r="J369" t="str">
            <v>ALMAHUE EXPORT</v>
          </cell>
          <cell r="K369" t="str">
            <v>CONS-LIBRE</v>
          </cell>
          <cell r="L369" t="str">
            <v>FOB</v>
          </cell>
          <cell r="M369" t="str">
            <v>3520</v>
          </cell>
          <cell r="N369" t="str">
            <v>158573.92</v>
          </cell>
          <cell r="O369" t="str">
            <v>10155.53</v>
          </cell>
          <cell r="P369" t="str">
            <v>0.00</v>
          </cell>
          <cell r="Q369" t="str">
            <v>119433.86</v>
          </cell>
          <cell r="R369">
            <v>1615</v>
          </cell>
          <cell r="S369" t="str">
            <v>70400.00</v>
          </cell>
          <cell r="T369" t="str">
            <v>65,975,360</v>
          </cell>
          <cell r="U369" t="str">
            <v>1287</v>
          </cell>
          <cell r="V369" t="str">
            <v>49034.00</v>
          </cell>
          <cell r="W369">
            <v>45952213</v>
          </cell>
          <cell r="X369" t="str">
            <v>13115057-1</v>
          </cell>
          <cell r="Y369" t="str">
            <v>10-12-2025</v>
          </cell>
          <cell r="Z369" t="str">
            <v>SI</v>
          </cell>
          <cell r="AA369" t="str">
            <v>SI</v>
          </cell>
          <cell r="AB369" t="str">
            <v>08-07-2026</v>
          </cell>
          <cell r="AC369" t="str">
            <v>Sin Aprobar</v>
          </cell>
        </row>
        <row r="370">
          <cell r="A370">
            <v>83</v>
          </cell>
          <cell r="B370" t="str">
            <v>24-11-2025</v>
          </cell>
          <cell r="C370" t="str">
            <v>26-11-2025</v>
          </cell>
          <cell r="D370" t="str">
            <v>MSC CARMELA</v>
          </cell>
          <cell r="E370" t="str">
            <v>MARITIMO</v>
          </cell>
          <cell r="F370" t="str">
            <v>HUASHENG</v>
          </cell>
          <cell r="G370" t="str">
            <v>CHUN WAN YI (GUANGZHOU) SUPPLY CHAIN MANAGEMENT CO., LTD</v>
          </cell>
          <cell r="H370" t="str">
            <v>CEREZAS</v>
          </cell>
          <cell r="I370" t="str">
            <v>BROOKS / SANTINA /</v>
          </cell>
          <cell r="J370" t="str">
            <v>ALMAHUE EXPORT</v>
          </cell>
          <cell r="K370" t="str">
            <v>CONS-LIBRE</v>
          </cell>
          <cell r="L370" t="str">
            <v>FOB</v>
          </cell>
          <cell r="M370" t="str">
            <v>3640</v>
          </cell>
          <cell r="N370" t="str">
            <v>102014.82</v>
          </cell>
          <cell r="O370" t="str">
            <v>10200.70</v>
          </cell>
          <cell r="P370" t="str">
            <v>0.00</v>
          </cell>
          <cell r="Q370" t="str">
            <v>72086.49</v>
          </cell>
          <cell r="R370">
            <v>1627</v>
          </cell>
          <cell r="S370" t="str">
            <v>72800.00</v>
          </cell>
          <cell r="T370" t="str">
            <v>68,224,520</v>
          </cell>
          <cell r="U370" t="str">
            <v>488</v>
          </cell>
          <cell r="V370" t="str">
            <v>-714.00</v>
          </cell>
          <cell r="W370">
            <v>-669125</v>
          </cell>
          <cell r="X370" t="str">
            <v>13113363-4</v>
          </cell>
          <cell r="Y370" t="str">
            <v>05-12-2025</v>
          </cell>
          <cell r="Z370" t="str">
            <v>SI</v>
          </cell>
          <cell r="AA370" t="str">
            <v>SI</v>
          </cell>
          <cell r="AB370" t="str">
            <v>03-07-2026</v>
          </cell>
          <cell r="AC370" t="str">
            <v>Sin Aprobar</v>
          </cell>
        </row>
        <row r="371">
          <cell r="A371">
            <v>82</v>
          </cell>
          <cell r="B371" t="str">
            <v>24-11-2025</v>
          </cell>
          <cell r="C371" t="str">
            <v>26-11-2025</v>
          </cell>
          <cell r="D371" t="str">
            <v>MSC CARMELA</v>
          </cell>
          <cell r="E371" t="str">
            <v>MARITIMO</v>
          </cell>
          <cell r="F371" t="str">
            <v>YUERUN TRADING</v>
          </cell>
          <cell r="G371" t="str">
            <v>SHENZHEN FANYA XIANSHIHUI CO.,LTD</v>
          </cell>
          <cell r="H371" t="str">
            <v>CEREZAS</v>
          </cell>
          <cell r="I371" t="str">
            <v>SANTINA /</v>
          </cell>
          <cell r="J371" t="str">
            <v>ALMAHUE EXPORT</v>
          </cell>
          <cell r="K371" t="str">
            <v>CONS-LIBRE</v>
          </cell>
          <cell r="L371" t="str">
            <v>FOB</v>
          </cell>
          <cell r="M371" t="str">
            <v>3552</v>
          </cell>
          <cell r="N371" t="str">
            <v>852770.75</v>
          </cell>
          <cell r="O371" t="str">
            <v>73256.90</v>
          </cell>
          <cell r="P371" t="str">
            <v>0.00</v>
          </cell>
          <cell r="Q371" t="str">
            <v>646896.24</v>
          </cell>
          <cell r="R371">
            <v>1616</v>
          </cell>
          <cell r="S371" t="str">
            <v>71040.00</v>
          </cell>
          <cell r="T371" t="str">
            <v>66,575,136</v>
          </cell>
          <cell r="U371" t="str">
            <v>1286</v>
          </cell>
          <cell r="V371" t="str">
            <v>23645.00</v>
          </cell>
          <cell r="W371">
            <v>22158912</v>
          </cell>
          <cell r="X371" t="str">
            <v>13114114-9</v>
          </cell>
          <cell r="Y371" t="str">
            <v>05-12-2025</v>
          </cell>
          <cell r="Z371" t="str">
            <v>SI</v>
          </cell>
          <cell r="AA371" t="str">
            <v>SI</v>
          </cell>
          <cell r="AB371" t="str">
            <v>03-07-2026</v>
          </cell>
          <cell r="AC371" t="str">
            <v>Sin Aprobar</v>
          </cell>
        </row>
        <row r="372">
          <cell r="A372">
            <v>81</v>
          </cell>
          <cell r="B372" t="str">
            <v>23-11-2025</v>
          </cell>
          <cell r="C372" t="str">
            <v>26-11-2025</v>
          </cell>
          <cell r="D372" t="str">
            <v>MSC CARMELA</v>
          </cell>
          <cell r="E372" t="str">
            <v>MARITIMO</v>
          </cell>
          <cell r="F372" t="str">
            <v>DORLUNG</v>
          </cell>
          <cell r="G372" t="str">
            <v>SHENZHEN WEI CHENG LI DE TRADE CO.,LTD</v>
          </cell>
          <cell r="H372" t="str">
            <v>CEREZAS</v>
          </cell>
          <cell r="I372" t="str">
            <v>SANTINA /</v>
          </cell>
          <cell r="J372" t="str">
            <v>ALMAHUE EXPORT</v>
          </cell>
          <cell r="K372" t="str">
            <v>CONS-LIBRE</v>
          </cell>
          <cell r="L372" t="str">
            <v>FOB</v>
          </cell>
          <cell r="M372" t="str">
            <v>3520</v>
          </cell>
          <cell r="N372" t="str">
            <v>159743.66</v>
          </cell>
          <cell r="O372" t="str">
            <v>10300.00</v>
          </cell>
          <cell r="P372" t="str">
            <v>0.00</v>
          </cell>
          <cell r="Q372" t="str">
            <v>122326.54</v>
          </cell>
          <cell r="R372">
            <v>1613</v>
          </cell>
          <cell r="S372" t="str">
            <v>70400.00</v>
          </cell>
          <cell r="T372" t="str">
            <v>65,975,360</v>
          </cell>
          <cell r="U372" t="str">
            <v>1285</v>
          </cell>
          <cell r="V372" t="str">
            <v>51927.00</v>
          </cell>
          <cell r="W372">
            <v>48663388</v>
          </cell>
          <cell r="X372" t="str">
            <v>13111954-2</v>
          </cell>
          <cell r="Y372" t="str">
            <v>09-12-2025</v>
          </cell>
          <cell r="Z372" t="str">
            <v>SI</v>
          </cell>
          <cell r="AA372" t="str">
            <v>SI</v>
          </cell>
          <cell r="AB372" t="str">
            <v>07-07-2026</v>
          </cell>
          <cell r="AC372" t="str">
            <v>Sin Aprobar</v>
          </cell>
        </row>
        <row r="373">
          <cell r="A373">
            <v>80</v>
          </cell>
          <cell r="B373" t="str">
            <v>24-11-2025</v>
          </cell>
          <cell r="C373" t="str">
            <v>26-11-2025</v>
          </cell>
          <cell r="D373" t="str">
            <v>MSC CARMELA</v>
          </cell>
          <cell r="E373" t="str">
            <v>MARITIMO</v>
          </cell>
          <cell r="F373" t="str">
            <v>SANGO</v>
          </cell>
          <cell r="G373" t="str">
            <v>ZHEJIANG OHENG IMPORT &amp; EXPORT CO.,LTD.</v>
          </cell>
          <cell r="H373" t="str">
            <v>CEREZAS</v>
          </cell>
          <cell r="I373" t="str">
            <v>SANTINA /</v>
          </cell>
          <cell r="J373" t="str">
            <v>ALMAHUE EXPORT</v>
          </cell>
          <cell r="K373" t="str">
            <v>CONS-LIBRE</v>
          </cell>
          <cell r="L373" t="str">
            <v>FOB</v>
          </cell>
          <cell r="M373" t="str">
            <v>3520</v>
          </cell>
          <cell r="N373" t="str">
            <v>1043410.67</v>
          </cell>
          <cell r="O373" t="str">
            <v>72915.85</v>
          </cell>
          <cell r="P373" t="str">
            <v>0.00</v>
          </cell>
          <cell r="Q373" t="str">
            <v>798642.62</v>
          </cell>
          <cell r="R373">
            <v>1626</v>
          </cell>
          <cell r="S373" t="str">
            <v>70400.00</v>
          </cell>
          <cell r="T373" t="str">
            <v>65,975,360</v>
          </cell>
          <cell r="U373" t="str">
            <v>1284</v>
          </cell>
          <cell r="V373" t="str">
            <v>46496.00</v>
          </cell>
          <cell r="W373">
            <v>43573726</v>
          </cell>
          <cell r="X373" t="str">
            <v>13114093-2</v>
          </cell>
          <cell r="Y373" t="str">
            <v>09-12-2025</v>
          </cell>
          <cell r="Z373" t="str">
            <v>SI</v>
          </cell>
          <cell r="AA373" t="str">
            <v>SI</v>
          </cell>
          <cell r="AB373" t="str">
            <v>07-07-2026</v>
          </cell>
          <cell r="AC373" t="str">
            <v>Sin Aprobar</v>
          </cell>
        </row>
        <row r="374">
          <cell r="A374">
            <v>79</v>
          </cell>
          <cell r="B374" t="str">
            <v>24-11-2025</v>
          </cell>
          <cell r="C374" t="str">
            <v>26-11-2025</v>
          </cell>
          <cell r="D374" t="str">
            <v>MSC CARMELA</v>
          </cell>
          <cell r="E374" t="str">
            <v>MARITIMO</v>
          </cell>
          <cell r="F374" t="str">
            <v>XINGWAN</v>
          </cell>
          <cell r="G374" t="str">
            <v>SHENZHEN OHENG IMPORT &amp; EXPORT CO.,LTD.</v>
          </cell>
          <cell r="H374" t="str">
            <v>CEREZAS</v>
          </cell>
          <cell r="I374" t="str">
            <v>ROYAL DAWN / SANTINA /</v>
          </cell>
          <cell r="J374" t="str">
            <v>ALMAHUE EXPORT</v>
          </cell>
          <cell r="K374" t="str">
            <v>CONS-LIBRE</v>
          </cell>
          <cell r="L374" t="str">
            <v>FOB</v>
          </cell>
          <cell r="M374" t="str">
            <v>3624</v>
          </cell>
          <cell r="N374" t="str">
            <v>867410.42</v>
          </cell>
          <cell r="O374" t="str">
            <v>72915.85</v>
          </cell>
          <cell r="P374" t="str">
            <v>0.00</v>
          </cell>
          <cell r="Q374" t="str">
            <v>624783.60</v>
          </cell>
          <cell r="R374">
            <v>1625</v>
          </cell>
          <cell r="S374" t="str">
            <v>72480.00</v>
          </cell>
          <cell r="T374" t="str">
            <v>67,924,632</v>
          </cell>
          <cell r="U374" t="str">
            <v>1283</v>
          </cell>
          <cell r="V374" t="str">
            <v>18968.00</v>
          </cell>
          <cell r="W374">
            <v>17775861</v>
          </cell>
          <cell r="X374" t="str">
            <v>13113452-5</v>
          </cell>
          <cell r="Y374" t="str">
            <v>09-12-2025</v>
          </cell>
          <cell r="Z374" t="str">
            <v>SI</v>
          </cell>
          <cell r="AA374" t="str">
            <v>SI</v>
          </cell>
          <cell r="AB374" t="str">
            <v>07-07-2026</v>
          </cell>
          <cell r="AC374" t="str">
            <v>Sin Aprobar</v>
          </cell>
        </row>
        <row r="375">
          <cell r="A375">
            <v>78</v>
          </cell>
          <cell r="B375" t="str">
            <v>23-11-2025</v>
          </cell>
          <cell r="C375" t="str">
            <v>26-11-2025</v>
          </cell>
          <cell r="D375" t="str">
            <v>MSC CARMELA</v>
          </cell>
          <cell r="E375" t="str">
            <v>MARITIMO</v>
          </cell>
          <cell r="F375" t="str">
            <v>WUHAN CCMAX FRUITS CO., LTD</v>
          </cell>
          <cell r="G375" t="str">
            <v>SHANGHAI HUI ZHAN INTERNATIONAL TRADE CO., LTD</v>
          </cell>
          <cell r="H375" t="str">
            <v>CEREZAS</v>
          </cell>
          <cell r="I375" t="str">
            <v>ROYAL DAWN / SANTINA /</v>
          </cell>
          <cell r="J375" t="str">
            <v>ALMAHUE EXPORT</v>
          </cell>
          <cell r="K375" t="str">
            <v>CONS-LIBRE</v>
          </cell>
          <cell r="L375" t="str">
            <v>FOB</v>
          </cell>
          <cell r="M375" t="str">
            <v>3600</v>
          </cell>
          <cell r="N375" t="str">
            <v>106465.21</v>
          </cell>
          <cell r="O375" t="str">
            <v>10202.86</v>
          </cell>
          <cell r="P375" t="str">
            <v>0.00</v>
          </cell>
          <cell r="Q375" t="str">
            <v>78083.17</v>
          </cell>
          <cell r="R375">
            <v>1612</v>
          </cell>
          <cell r="S375" t="str">
            <v>72000.00</v>
          </cell>
          <cell r="T375" t="str">
            <v>67,474,800</v>
          </cell>
          <cell r="U375" t="str">
            <v>1282</v>
          </cell>
          <cell r="V375" t="str">
            <v>6083.00</v>
          </cell>
          <cell r="W375">
            <v>5700683</v>
          </cell>
          <cell r="X375" t="str">
            <v>13111945-3</v>
          </cell>
          <cell r="Y375" t="str">
            <v>05-12-2025</v>
          </cell>
          <cell r="Z375" t="str">
            <v>SI</v>
          </cell>
          <cell r="AA375" t="str">
            <v>SI</v>
          </cell>
          <cell r="AB375" t="str">
            <v>03-07-2026</v>
          </cell>
          <cell r="AC375" t="str">
            <v>Sin Aprobar</v>
          </cell>
        </row>
        <row r="376">
          <cell r="A376">
            <v>77</v>
          </cell>
          <cell r="B376" t="str">
            <v>24-11-2025</v>
          </cell>
          <cell r="C376" t="str">
            <v>26-11-2025</v>
          </cell>
          <cell r="D376" t="str">
            <v>MSC CARMELA</v>
          </cell>
          <cell r="E376" t="str">
            <v>MARITIMO</v>
          </cell>
          <cell r="F376" t="str">
            <v>YOGO</v>
          </cell>
          <cell r="G376" t="str">
            <v>LUSHANG INTERNATIONAL TRADE CO., LTD</v>
          </cell>
          <cell r="H376" t="str">
            <v>CEREZAS</v>
          </cell>
          <cell r="I376" t="str">
            <v>LAPINS / SANTINA /</v>
          </cell>
          <cell r="J376" t="str">
            <v>ALMAHUE EXPORT</v>
          </cell>
          <cell r="K376" t="str">
            <v>CONS-LIBRE</v>
          </cell>
          <cell r="L376" t="str">
            <v>FOB</v>
          </cell>
          <cell r="M376" t="str">
            <v>3528</v>
          </cell>
          <cell r="N376" t="str">
            <v>121997.32</v>
          </cell>
          <cell r="O376" t="str">
            <v>10171.93</v>
          </cell>
          <cell r="P376" t="str">
            <v>0.00</v>
          </cell>
          <cell r="Q376" t="str">
            <v>87586.92</v>
          </cell>
          <cell r="R376">
            <v>1624</v>
          </cell>
          <cell r="S376" t="str">
            <v>70560.00</v>
          </cell>
          <cell r="T376" t="str">
            <v>66,125,304</v>
          </cell>
          <cell r="U376" t="str">
            <v>1281</v>
          </cell>
          <cell r="V376" t="str">
            <v>17027.00</v>
          </cell>
          <cell r="W376">
            <v>15956853</v>
          </cell>
          <cell r="X376" t="str">
            <v>13113623-4</v>
          </cell>
          <cell r="Y376" t="str">
            <v>09-12-2025</v>
          </cell>
          <cell r="Z376" t="str">
            <v>SI</v>
          </cell>
          <cell r="AA376" t="str">
            <v>SI</v>
          </cell>
          <cell r="AB376" t="str">
            <v>07-07-2026</v>
          </cell>
          <cell r="AC376" t="str">
            <v>Sin Aprobar</v>
          </cell>
        </row>
        <row r="377">
          <cell r="A377">
            <v>76</v>
          </cell>
          <cell r="B377" t="str">
            <v>24-11-2025</v>
          </cell>
          <cell r="C377" t="str">
            <v>26-11-2025</v>
          </cell>
          <cell r="D377" t="str">
            <v>MSC CARMELA</v>
          </cell>
          <cell r="E377" t="str">
            <v>MARITIMO</v>
          </cell>
          <cell r="F377" t="str">
            <v>KINGO</v>
          </cell>
          <cell r="G377" t="str">
            <v>SHENZHEN FANYA XIANSHIHUI CO.,LTD</v>
          </cell>
          <cell r="H377" t="str">
            <v>CEREZAS</v>
          </cell>
          <cell r="I377" t="str">
            <v>LAPINS /</v>
          </cell>
          <cell r="J377" t="str">
            <v>ALMAHUE EXPORT</v>
          </cell>
          <cell r="K377" t="str">
            <v>CONS-LIBRE</v>
          </cell>
          <cell r="L377" t="str">
            <v>FOB</v>
          </cell>
          <cell r="M377" t="str">
            <v>3520</v>
          </cell>
          <cell r="N377" t="str">
            <v>974290.48</v>
          </cell>
          <cell r="O377" t="str">
            <v>72736.54</v>
          </cell>
          <cell r="P377" t="str">
            <v>0.00</v>
          </cell>
          <cell r="Q377" t="str">
            <v>725483.33</v>
          </cell>
          <cell r="R377">
            <v>1623</v>
          </cell>
          <cell r="S377" t="str">
            <v>70400.00</v>
          </cell>
          <cell r="T377" t="str">
            <v>65,975,360</v>
          </cell>
          <cell r="U377" t="str">
            <v>1280</v>
          </cell>
          <cell r="V377" t="str">
            <v>35787.00</v>
          </cell>
          <cell r="W377">
            <v>33537787</v>
          </cell>
          <cell r="X377" t="str">
            <v>13113547-5</v>
          </cell>
          <cell r="Y377" t="str">
            <v>05-12-2025</v>
          </cell>
          <cell r="Z377" t="str">
            <v>SI</v>
          </cell>
          <cell r="AA377" t="str">
            <v>SI</v>
          </cell>
          <cell r="AB377" t="str">
            <v>03-07-2026</v>
          </cell>
          <cell r="AC377" t="str">
            <v>Sin Aprobar</v>
          </cell>
        </row>
        <row r="378">
          <cell r="A378">
            <v>75</v>
          </cell>
          <cell r="B378" t="str">
            <v>22-11-2025</v>
          </cell>
          <cell r="C378" t="str">
            <v>26-11-2025</v>
          </cell>
          <cell r="D378" t="str">
            <v>MSC CARMELA</v>
          </cell>
          <cell r="E378" t="str">
            <v>MARITIMO</v>
          </cell>
          <cell r="F378" t="str">
            <v>HING LEE</v>
          </cell>
          <cell r="G378" t="str">
            <v>SHENZHEN JINSHUN'AN INTERNATIONAL FREIGHT FORWARDING CO.,LTD</v>
          </cell>
          <cell r="H378" t="str">
            <v>CEREZAS</v>
          </cell>
          <cell r="I378" t="str">
            <v>SANTINA /</v>
          </cell>
          <cell r="J378" t="str">
            <v>ALMAHUE EXPORT</v>
          </cell>
          <cell r="K378" t="str">
            <v>CONS-LIBRE</v>
          </cell>
          <cell r="L378" t="str">
            <v>FOB</v>
          </cell>
          <cell r="M378" t="str">
            <v>3520</v>
          </cell>
          <cell r="N378" t="str">
            <v>164763.26</v>
          </cell>
          <cell r="O378" t="str">
            <v>10177.43</v>
          </cell>
          <cell r="P378" t="str">
            <v>0.00</v>
          </cell>
          <cell r="Q378" t="str">
            <v>125347.49</v>
          </cell>
          <cell r="R378">
            <v>1607</v>
          </cell>
          <cell r="S378" t="str">
            <v>70400.00</v>
          </cell>
          <cell r="T378" t="str">
            <v>65,975,360</v>
          </cell>
          <cell r="U378" t="str">
            <v>1295</v>
          </cell>
          <cell r="V378" t="str">
            <v>54947.00</v>
          </cell>
          <cell r="W378">
            <v>51493581</v>
          </cell>
          <cell r="X378" t="str">
            <v>13110646-7</v>
          </cell>
          <cell r="Y378" t="str">
            <v>09-12-2025</v>
          </cell>
          <cell r="Z378" t="str">
            <v>SI</v>
          </cell>
          <cell r="AA378" t="str">
            <v>SI</v>
          </cell>
          <cell r="AB378" t="str">
            <v>07-07-2026</v>
          </cell>
          <cell r="AC378" t="str">
            <v>Sin Aprobar</v>
          </cell>
        </row>
        <row r="379">
          <cell r="A379">
            <v>74</v>
          </cell>
          <cell r="B379" t="str">
            <v>24-11-2025</v>
          </cell>
          <cell r="C379" t="str">
            <v>26-11-2025</v>
          </cell>
          <cell r="D379" t="str">
            <v>MSC CARMELA</v>
          </cell>
          <cell r="E379" t="str">
            <v>MARITIMO</v>
          </cell>
          <cell r="F379" t="str">
            <v>FRUITJOY</v>
          </cell>
          <cell r="G379" t="str">
            <v>SHANGHAI HUI ZHAN INTERNATIONAL TRADE CO., LTD</v>
          </cell>
          <cell r="H379" t="str">
            <v>CEREZAS</v>
          </cell>
          <cell r="I379" t="str">
            <v>SANTINA /</v>
          </cell>
          <cell r="J379" t="str">
            <v>ALMAHUE EXPORT</v>
          </cell>
          <cell r="K379" t="str">
            <v>CONS-LIBRE</v>
          </cell>
          <cell r="L379" t="str">
            <v>FOB</v>
          </cell>
          <cell r="M379" t="str">
            <v>3520</v>
          </cell>
          <cell r="N379" t="str">
            <v>165777.59</v>
          </cell>
          <cell r="O379" t="str">
            <v>10150.16</v>
          </cell>
          <cell r="P379" t="str">
            <v>0.00</v>
          </cell>
          <cell r="Q379" t="str">
            <v>125705.97</v>
          </cell>
          <cell r="R379">
            <v>1606</v>
          </cell>
          <cell r="S379" t="str">
            <v>70400.00</v>
          </cell>
          <cell r="T379" t="str">
            <v>65,975,360</v>
          </cell>
          <cell r="U379" t="str">
            <v>1278</v>
          </cell>
          <cell r="V379" t="str">
            <v>55306.00</v>
          </cell>
          <cell r="W379">
            <v>51830018</v>
          </cell>
          <cell r="X379" t="str">
            <v>13113587-4</v>
          </cell>
          <cell r="Y379" t="str">
            <v>10-12-2025</v>
          </cell>
          <cell r="Z379" t="str">
            <v>SI</v>
          </cell>
          <cell r="AA379" t="str">
            <v>SI</v>
          </cell>
          <cell r="AB379" t="str">
            <v>08-07-2026</v>
          </cell>
          <cell r="AC379" t="str">
            <v>Sin Aprobar</v>
          </cell>
        </row>
        <row r="380">
          <cell r="A380">
            <v>73</v>
          </cell>
          <cell r="B380" t="str">
            <v>21-11-2025</v>
          </cell>
          <cell r="C380" t="str">
            <v>26-11-2025</v>
          </cell>
          <cell r="D380" t="str">
            <v>MSC CARMELA</v>
          </cell>
          <cell r="E380" t="str">
            <v>MARITIMO</v>
          </cell>
          <cell r="F380" t="str">
            <v>ZEGOO</v>
          </cell>
          <cell r="G380" t="str">
            <v>ZHEJIANG OHENG IMPORT &amp; EXPORT CO., LTD.</v>
          </cell>
          <cell r="H380" t="str">
            <v>CEREZAS</v>
          </cell>
          <cell r="I380" t="str">
            <v>SANTINA /</v>
          </cell>
          <cell r="J380" t="str">
            <v>ALMAHUE EXPORT</v>
          </cell>
          <cell r="K380" t="str">
            <v>CONS-LIBRE</v>
          </cell>
          <cell r="L380" t="str">
            <v>FOB</v>
          </cell>
          <cell r="M380" t="str">
            <v>3520</v>
          </cell>
          <cell r="N380" t="str">
            <v>971948.38</v>
          </cell>
          <cell r="O380" t="str">
            <v>72916.00</v>
          </cell>
          <cell r="P380" t="str">
            <v>0.00</v>
          </cell>
          <cell r="Q380" t="str">
            <v>736604.48</v>
          </cell>
          <cell r="R380">
            <v>1622</v>
          </cell>
          <cell r="S380" t="str">
            <v>70400.00</v>
          </cell>
          <cell r="T380" t="str">
            <v>65,975,360</v>
          </cell>
          <cell r="U380" t="str">
            <v>1277</v>
          </cell>
          <cell r="V380" t="str">
            <v>37415.00</v>
          </cell>
          <cell r="W380">
            <v>35063467</v>
          </cell>
          <cell r="X380" t="str">
            <v>13108210-K</v>
          </cell>
          <cell r="Y380" t="str">
            <v>10-12-2025</v>
          </cell>
          <cell r="Z380" t="str">
            <v>SI</v>
          </cell>
          <cell r="AA380" t="str">
            <v>SI</v>
          </cell>
          <cell r="AB380" t="str">
            <v>08-07-2026</v>
          </cell>
          <cell r="AC380" t="str">
            <v>Sin Aprobar</v>
          </cell>
        </row>
        <row r="381">
          <cell r="A381">
            <v>72</v>
          </cell>
          <cell r="B381" t="str">
            <v>24-11-2025</v>
          </cell>
          <cell r="C381" t="str">
            <v>26-11-2025</v>
          </cell>
          <cell r="D381" t="str">
            <v>MSC CARMELA</v>
          </cell>
          <cell r="E381" t="str">
            <v>MARITIMO</v>
          </cell>
          <cell r="F381" t="str">
            <v>SUNHOLA</v>
          </cell>
          <cell r="G381" t="str">
            <v>HUBEI SHOUHENG SUPPLY CHAIN MANAGEMENT CO. , LTD</v>
          </cell>
          <cell r="H381" t="str">
            <v>CEREZAS</v>
          </cell>
          <cell r="I381" t="str">
            <v>SANTINA /</v>
          </cell>
          <cell r="J381" t="str">
            <v>ALMAHUE EXPORT</v>
          </cell>
          <cell r="K381" t="str">
            <v>CONS-LIBRE</v>
          </cell>
          <cell r="L381" t="str">
            <v>FOB</v>
          </cell>
          <cell r="M381" t="str">
            <v>3552</v>
          </cell>
          <cell r="N381" t="str">
            <v>1050415.12</v>
          </cell>
          <cell r="O381" t="str">
            <v>69298.78</v>
          </cell>
          <cell r="P381" t="str">
            <v>0.00</v>
          </cell>
          <cell r="Q381" t="str">
            <v>795643.93</v>
          </cell>
          <cell r="R381">
            <v>1614</v>
          </cell>
          <cell r="S381" t="str">
            <v>71040.00</v>
          </cell>
          <cell r="T381" t="str">
            <v>66,575,136</v>
          </cell>
          <cell r="U381" t="str">
            <v>1276</v>
          </cell>
          <cell r="V381" t="str">
            <v>45417.00</v>
          </cell>
          <cell r="W381">
            <v>42562542</v>
          </cell>
          <cell r="X381" t="str">
            <v>13113127-5</v>
          </cell>
          <cell r="Y381" t="str">
            <v>04-12-2025</v>
          </cell>
          <cell r="Z381" t="str">
            <v>SI</v>
          </cell>
          <cell r="AA381" t="str">
            <v>SI</v>
          </cell>
          <cell r="AB381" t="str">
            <v>02-07-2026</v>
          </cell>
          <cell r="AC381" t="str">
            <v>Sin Aprobar</v>
          </cell>
        </row>
        <row r="382">
          <cell r="A382">
            <v>71</v>
          </cell>
          <cell r="B382" t="str">
            <v>23-11-2025</v>
          </cell>
          <cell r="C382" t="str">
            <v>26-11-2025</v>
          </cell>
          <cell r="D382" t="str">
            <v>MSC CARMELA</v>
          </cell>
          <cell r="E382" t="str">
            <v>MARITIMO</v>
          </cell>
          <cell r="F382" t="str">
            <v>CHEN SUN</v>
          </cell>
          <cell r="G382" t="str">
            <v>LUSHANG INTERNATIONAL TRADE CO., LTD.</v>
          </cell>
          <cell r="H382" t="str">
            <v>CEREZAS</v>
          </cell>
          <cell r="I382" t="str">
            <v>ROYAL DAWN / SANTINA /</v>
          </cell>
          <cell r="J382" t="str">
            <v>ALMAHUE EXPORT</v>
          </cell>
          <cell r="K382" t="str">
            <v>CONS-LIBRE</v>
          </cell>
          <cell r="L382" t="str">
            <v>FOB</v>
          </cell>
          <cell r="M382" t="str">
            <v>3520</v>
          </cell>
          <cell r="N382" t="str">
            <v>988490.11</v>
          </cell>
          <cell r="O382" t="str">
            <v>72736.00</v>
          </cell>
          <cell r="P382" t="str">
            <v>0.00</v>
          </cell>
          <cell r="Q382" t="str">
            <v>718287.80</v>
          </cell>
          <cell r="R382">
            <v>1611</v>
          </cell>
          <cell r="S382" t="str">
            <v>70400.00</v>
          </cell>
          <cell r="T382" t="str">
            <v>65,975,360</v>
          </cell>
          <cell r="U382" t="str">
            <v>1275</v>
          </cell>
          <cell r="V382" t="str">
            <v>34734.00</v>
          </cell>
          <cell r="W382">
            <v>32550968</v>
          </cell>
          <cell r="X382" t="str">
            <v>13111950-K</v>
          </cell>
          <cell r="Y382" t="str">
            <v>09-12-2025</v>
          </cell>
          <cell r="Z382" t="str">
            <v>SI</v>
          </cell>
          <cell r="AA382" t="str">
            <v>SI</v>
          </cell>
          <cell r="AB382" t="str">
            <v>07-07-2026</v>
          </cell>
          <cell r="AC382" t="str">
            <v>Sin Aprobar</v>
          </cell>
        </row>
        <row r="383">
          <cell r="A383">
            <v>70</v>
          </cell>
          <cell r="B383" t="str">
            <v>23-11-2025</v>
          </cell>
          <cell r="C383" t="str">
            <v>26-11-2025</v>
          </cell>
          <cell r="D383" t="str">
            <v>MSC CARMELA</v>
          </cell>
          <cell r="E383" t="str">
            <v>MARITIMO</v>
          </cell>
          <cell r="F383" t="str">
            <v>PAGODA</v>
          </cell>
          <cell r="G383" t="str">
            <v>SHANGHAI HUI ZHAN INTERNATIONAL TRADE CO., LTD</v>
          </cell>
          <cell r="H383" t="str">
            <v>CEREZAS</v>
          </cell>
          <cell r="I383" t="str">
            <v>ROYAL DAWN / SANTINA /</v>
          </cell>
          <cell r="J383" t="str">
            <v>ALMAHUE EXPORT</v>
          </cell>
          <cell r="K383" t="str">
            <v>CONS-LIBRE</v>
          </cell>
          <cell r="L383" t="str">
            <v>FOB</v>
          </cell>
          <cell r="M383" t="str">
            <v>3520</v>
          </cell>
          <cell r="N383" t="str">
            <v>126255.62</v>
          </cell>
          <cell r="O383" t="str">
            <v>10341.07</v>
          </cell>
          <cell r="P383" t="str">
            <v>0.00</v>
          </cell>
          <cell r="Q383" t="str">
            <v>96259.05</v>
          </cell>
          <cell r="R383">
            <v>1621</v>
          </cell>
          <cell r="S383" t="str">
            <v>70400.00</v>
          </cell>
          <cell r="T383" t="str">
            <v>65,975,360</v>
          </cell>
          <cell r="U383" t="str">
            <v>1274</v>
          </cell>
          <cell r="V383" t="str">
            <v>25859.00</v>
          </cell>
          <cell r="W383">
            <v>24233762</v>
          </cell>
          <cell r="X383" t="str">
            <v>13111943-7</v>
          </cell>
          <cell r="Y383" t="str">
            <v>09-12-2025</v>
          </cell>
          <cell r="Z383" t="str">
            <v>SI</v>
          </cell>
          <cell r="AA383" t="str">
            <v>SI</v>
          </cell>
          <cell r="AB383" t="str">
            <v>07-07-2026</v>
          </cell>
          <cell r="AC383" t="str">
            <v>Sin Aprobar</v>
          </cell>
        </row>
        <row r="384">
          <cell r="A384">
            <v>69</v>
          </cell>
          <cell r="B384" t="str">
            <v>22-11-2025</v>
          </cell>
          <cell r="C384" t="str">
            <v>26-11-2025</v>
          </cell>
          <cell r="D384" t="str">
            <v>MSC CARMELA</v>
          </cell>
          <cell r="E384" t="str">
            <v>MARITIMO</v>
          </cell>
          <cell r="F384" t="str">
            <v>FRUITJOY</v>
          </cell>
          <cell r="G384" t="str">
            <v>SHANGHAI HUI ZHAN INTERNATIONAL TRADE CO., LTD</v>
          </cell>
          <cell r="H384" t="str">
            <v>CEREZAS</v>
          </cell>
          <cell r="I384" t="str">
            <v>SANTINA /</v>
          </cell>
          <cell r="J384" t="str">
            <v>ALMAHUE EXPORT</v>
          </cell>
          <cell r="K384" t="str">
            <v>CONS-LIBRE</v>
          </cell>
          <cell r="L384" t="str">
            <v>FOB</v>
          </cell>
          <cell r="M384" t="str">
            <v>3616</v>
          </cell>
          <cell r="N384" t="str">
            <v>115200.63</v>
          </cell>
          <cell r="O384" t="str">
            <v>10150.16</v>
          </cell>
          <cell r="P384" t="str">
            <v>0.00</v>
          </cell>
          <cell r="Q384" t="str">
            <v>82751.33</v>
          </cell>
          <cell r="R384">
            <v>1605</v>
          </cell>
          <cell r="S384" t="str">
            <v>72320.00</v>
          </cell>
          <cell r="T384" t="str">
            <v>67,774,688</v>
          </cell>
          <cell r="U384" t="str">
            <v>1273</v>
          </cell>
          <cell r="V384" t="str">
            <v>10431.00</v>
          </cell>
          <cell r="W384">
            <v>9775412</v>
          </cell>
          <cell r="X384" t="str">
            <v>13110657-2</v>
          </cell>
          <cell r="Y384" t="str">
            <v>10-12-2025</v>
          </cell>
          <cell r="Z384" t="str">
            <v>SI</v>
          </cell>
          <cell r="AA384" t="str">
            <v>SI</v>
          </cell>
          <cell r="AB384" t="str">
            <v>08-07-2026</v>
          </cell>
          <cell r="AC384" t="str">
            <v>Sin Aprobar</v>
          </cell>
        </row>
        <row r="385">
          <cell r="A385">
            <v>68</v>
          </cell>
          <cell r="B385" t="str">
            <v>24-11-2025</v>
          </cell>
          <cell r="C385" t="str">
            <v>26-11-2025</v>
          </cell>
          <cell r="D385" t="str">
            <v>MSC CARMELA</v>
          </cell>
          <cell r="E385" t="str">
            <v>MARITIMO</v>
          </cell>
          <cell r="F385" t="str">
            <v>YUERUN TRADING</v>
          </cell>
          <cell r="G385" t="str">
            <v>SHENZHEN FANYA XIANSHIHUI CO.,LTD</v>
          </cell>
          <cell r="H385" t="str">
            <v>CEREZAS</v>
          </cell>
          <cell r="I385" t="str">
            <v>SANTINA /</v>
          </cell>
          <cell r="J385" t="str">
            <v>ALMAHUE EXPORT</v>
          </cell>
          <cell r="K385" t="str">
            <v>CONS-LIBRE</v>
          </cell>
          <cell r="L385" t="str">
            <v>FOB</v>
          </cell>
          <cell r="M385" t="str">
            <v>3520</v>
          </cell>
          <cell r="N385" t="str">
            <v>1111528.00</v>
          </cell>
          <cell r="O385" t="str">
            <v>73256.90</v>
          </cell>
          <cell r="P385" t="str">
            <v>0.00</v>
          </cell>
          <cell r="Q385" t="str">
            <v>865357.76</v>
          </cell>
          <cell r="R385">
            <v>1610</v>
          </cell>
          <cell r="S385" t="str">
            <v>70400.00</v>
          </cell>
          <cell r="T385" t="str">
            <v>65,975,360</v>
          </cell>
          <cell r="U385" t="str">
            <v>1272</v>
          </cell>
          <cell r="V385" t="str">
            <v>56261.00</v>
          </cell>
          <cell r="W385">
            <v>52724996</v>
          </cell>
          <cell r="X385" t="str">
            <v>13113115-1</v>
          </cell>
          <cell r="Y385" t="str">
            <v>10-12-2025</v>
          </cell>
          <cell r="Z385" t="str">
            <v>SI</v>
          </cell>
          <cell r="AA385" t="str">
            <v>SI</v>
          </cell>
          <cell r="AB385" t="str">
            <v>08-07-2026</v>
          </cell>
          <cell r="AC385" t="str">
            <v>Sin Aprobar</v>
          </cell>
        </row>
        <row r="386">
          <cell r="A386">
            <v>67</v>
          </cell>
          <cell r="B386" t="str">
            <v>21-11-2025</v>
          </cell>
          <cell r="C386" t="str">
            <v>26-11-2025</v>
          </cell>
          <cell r="D386" t="str">
            <v>MSC CARMELA</v>
          </cell>
          <cell r="E386" t="str">
            <v>MARITIMO</v>
          </cell>
          <cell r="F386" t="str">
            <v>DORLUNG</v>
          </cell>
          <cell r="G386" t="str">
            <v>SHENZHEN WEI CHENG LI DE TRADE CO.,LTD</v>
          </cell>
          <cell r="H386" t="str">
            <v>CEREZAS</v>
          </cell>
          <cell r="I386" t="str">
            <v>BROOKS / ROYAL DAWN / SANTINA /</v>
          </cell>
          <cell r="J386" t="str">
            <v>ALMAHUE EXPORT</v>
          </cell>
          <cell r="K386" t="str">
            <v>CONS-LIBRE</v>
          </cell>
          <cell r="L386" t="str">
            <v>FOB</v>
          </cell>
          <cell r="M386" t="str">
            <v>3544</v>
          </cell>
          <cell r="N386" t="str">
            <v>112559.14</v>
          </cell>
          <cell r="O386" t="str">
            <v>10300.00</v>
          </cell>
          <cell r="P386" t="str">
            <v>0.00</v>
          </cell>
          <cell r="Q386" t="str">
            <v>80031.59</v>
          </cell>
          <cell r="R386">
            <v>1604</v>
          </cell>
          <cell r="S386" t="str">
            <v>70880.00</v>
          </cell>
          <cell r="T386" t="str">
            <v>66,425,192</v>
          </cell>
          <cell r="U386" t="str">
            <v>1265</v>
          </cell>
          <cell r="V386" t="str">
            <v>9152.00</v>
          </cell>
          <cell r="W386">
            <v>8576797</v>
          </cell>
          <cell r="X386" t="str">
            <v>13108188-K</v>
          </cell>
          <cell r="Y386" t="str">
            <v>09-12-2025</v>
          </cell>
          <cell r="Z386" t="str">
            <v>SI</v>
          </cell>
          <cell r="AA386" t="str">
            <v>SI</v>
          </cell>
          <cell r="AB386" t="str">
            <v>07-07-2026</v>
          </cell>
          <cell r="AC386" t="str">
            <v>Sin Aprobar</v>
          </cell>
        </row>
        <row r="387">
          <cell r="A387">
            <v>66</v>
          </cell>
          <cell r="B387" t="str">
            <v>23-11-2025</v>
          </cell>
          <cell r="C387" t="str">
            <v>26-11-2025</v>
          </cell>
          <cell r="D387" t="str">
            <v>MSC CARMELA</v>
          </cell>
          <cell r="E387" t="str">
            <v>MARITIMO</v>
          </cell>
          <cell r="F387" t="str">
            <v>SANGO</v>
          </cell>
          <cell r="G387" t="str">
            <v>ZHEJIANG OHENG IMPORT &amp; EXPORT CO.,LTD.</v>
          </cell>
          <cell r="H387" t="str">
            <v>CEREZAS</v>
          </cell>
          <cell r="I387" t="str">
            <v>SANTINA /</v>
          </cell>
          <cell r="J387" t="str">
            <v>ALMAHUE EXPORT</v>
          </cell>
          <cell r="K387" t="str">
            <v>CONS-LIBRE</v>
          </cell>
          <cell r="L387" t="str">
            <v>FOB</v>
          </cell>
          <cell r="M387" t="str">
            <v>3520</v>
          </cell>
          <cell r="N387" t="str">
            <v>1195570.00</v>
          </cell>
          <cell r="O387" t="str">
            <v>72829.33</v>
          </cell>
          <cell r="P387" t="str">
            <v>0.00</v>
          </cell>
          <cell r="Q387" t="str">
            <v>931505.82</v>
          </cell>
          <cell r="R387">
            <v>1620</v>
          </cell>
          <cell r="S387" t="str">
            <v>70400.00</v>
          </cell>
          <cell r="T387" t="str">
            <v>65,975,360</v>
          </cell>
          <cell r="U387" t="str">
            <v>1264</v>
          </cell>
          <cell r="V387" t="str">
            <v>65943.00</v>
          </cell>
          <cell r="W387">
            <v>61798482</v>
          </cell>
          <cell r="X387" t="str">
            <v>13111940-2</v>
          </cell>
          <cell r="Y387" t="str">
            <v>05-12-2025</v>
          </cell>
          <cell r="Z387" t="str">
            <v>SI</v>
          </cell>
          <cell r="AA387" t="str">
            <v>SI</v>
          </cell>
          <cell r="AB387" t="str">
            <v>03-07-2026</v>
          </cell>
          <cell r="AC387" t="str">
            <v>Sin Aprobar</v>
          </cell>
        </row>
        <row r="388">
          <cell r="A388">
            <v>65</v>
          </cell>
          <cell r="B388" t="str">
            <v>20-11-2025</v>
          </cell>
          <cell r="C388" t="str">
            <v>21-11-2025</v>
          </cell>
          <cell r="D388" t="str">
            <v>CAPE HELLAS</v>
          </cell>
          <cell r="E388" t="str">
            <v>MARITIMO</v>
          </cell>
          <cell r="F388" t="str">
            <v>NORTH BAY</v>
          </cell>
          <cell r="G388" t="str">
            <v>NORTH BAY PRODUCE, INC.</v>
          </cell>
          <cell r="H388" t="str">
            <v>CEREZAS</v>
          </cell>
          <cell r="I388" t="str">
            <v>BROOKS / ROYAL DAWN / SANTINA /</v>
          </cell>
          <cell r="J388" t="str">
            <v>ALMAHUE EXPORT</v>
          </cell>
          <cell r="K388" t="str">
            <v>CONS-LIBRE</v>
          </cell>
          <cell r="L388" t="str">
            <v>FOB</v>
          </cell>
          <cell r="M388" t="str">
            <v>2369</v>
          </cell>
          <cell r="N388" t="str">
            <v>73713.93</v>
          </cell>
          <cell r="O388" t="str">
            <v>8015.00</v>
          </cell>
          <cell r="P388" t="str">
            <v>0.00</v>
          </cell>
          <cell r="Q388" t="str">
            <v>50364.14</v>
          </cell>
          <cell r="R388">
            <v>1601</v>
          </cell>
          <cell r="S388" t="str">
            <v>47380.00</v>
          </cell>
          <cell r="T388" t="str">
            <v>44,016,020</v>
          </cell>
          <cell r="U388" t="str">
            <v>1263</v>
          </cell>
          <cell r="V388" t="str">
            <v>2984.00</v>
          </cell>
          <cell r="W388">
            <v>2772136</v>
          </cell>
          <cell r="X388" t="str">
            <v>13100136-3</v>
          </cell>
          <cell r="Y388" t="str">
            <v>26-11-2025</v>
          </cell>
          <cell r="Z388" t="str">
            <v>SI</v>
          </cell>
          <cell r="AA388" t="str">
            <v>SI</v>
          </cell>
          <cell r="AB388" t="str">
            <v>24-06-2026</v>
          </cell>
          <cell r="AC388" t="str">
            <v>Sin Aprobar</v>
          </cell>
        </row>
        <row r="389">
          <cell r="A389">
            <v>64</v>
          </cell>
          <cell r="B389" t="str">
            <v>23-11-2025</v>
          </cell>
          <cell r="C389" t="str">
            <v>26-11-2025</v>
          </cell>
          <cell r="D389" t="str">
            <v>MSC CARMELA</v>
          </cell>
          <cell r="E389" t="str">
            <v>MARITIMO</v>
          </cell>
          <cell r="F389" t="str">
            <v>XINGWAN</v>
          </cell>
          <cell r="G389" t="str">
            <v>SHENZHEN OHENG IMPORT &amp; EXPORT CO.,LTD.</v>
          </cell>
          <cell r="H389" t="str">
            <v>CEREZAS</v>
          </cell>
          <cell r="I389" t="str">
            <v>SANTINA /</v>
          </cell>
          <cell r="J389" t="str">
            <v>ALMAHUE EXPORT</v>
          </cell>
          <cell r="K389" t="str">
            <v>CONS-LIBRE</v>
          </cell>
          <cell r="L389" t="str">
            <v>FOB</v>
          </cell>
          <cell r="M389" t="str">
            <v>3520</v>
          </cell>
          <cell r="N389" t="str">
            <v>1056250.00</v>
          </cell>
          <cell r="O389" t="str">
            <v>72915.85</v>
          </cell>
          <cell r="P389" t="str">
            <v>0.00</v>
          </cell>
          <cell r="Q389" t="str">
            <v>794722.36</v>
          </cell>
          <cell r="R389">
            <v>1619</v>
          </cell>
          <cell r="S389" t="str">
            <v>70400.00</v>
          </cell>
          <cell r="T389" t="str">
            <v>65,975,360</v>
          </cell>
          <cell r="U389" t="str">
            <v>1271</v>
          </cell>
          <cell r="V389" t="str">
            <v>45922.00</v>
          </cell>
          <cell r="W389">
            <v>43035802</v>
          </cell>
          <cell r="X389" t="str">
            <v>13111936-4</v>
          </cell>
          <cell r="Y389" t="str">
            <v>05-12-2025</v>
          </cell>
          <cell r="Z389" t="str">
            <v>SI</v>
          </cell>
          <cell r="AA389" t="str">
            <v>SI</v>
          </cell>
          <cell r="AB389" t="str">
            <v>03-07-2026</v>
          </cell>
          <cell r="AC389" t="str">
            <v>Sin Aprobar</v>
          </cell>
        </row>
        <row r="390">
          <cell r="A390">
            <v>63</v>
          </cell>
          <cell r="B390" t="str">
            <v>23-11-2025</v>
          </cell>
          <cell r="C390" t="str">
            <v>26-11-2025</v>
          </cell>
          <cell r="D390" t="str">
            <v>MSC CARMELA</v>
          </cell>
          <cell r="E390" t="str">
            <v>MARITIMO</v>
          </cell>
          <cell r="F390" t="str">
            <v>WUHAN CCMAX FRUITS CO., LTD</v>
          </cell>
          <cell r="G390" t="str">
            <v>SHANGHAI HUI ZHAN INTERNATIONAL TRADE CO., LTD</v>
          </cell>
          <cell r="H390" t="str">
            <v>CEREZAS</v>
          </cell>
          <cell r="I390" t="str">
            <v>SANTINA /</v>
          </cell>
          <cell r="J390" t="str">
            <v>ALMAHUE EXPORT</v>
          </cell>
          <cell r="K390" t="str">
            <v>CONS-LIBRE</v>
          </cell>
          <cell r="L390" t="str">
            <v>FOB</v>
          </cell>
          <cell r="M390" t="str">
            <v>3520</v>
          </cell>
          <cell r="N390" t="str">
            <v>153474.29</v>
          </cell>
          <cell r="O390" t="str">
            <v>10205.71</v>
          </cell>
          <cell r="P390" t="str">
            <v>0.00</v>
          </cell>
          <cell r="Q390" t="str">
            <v>117352.03</v>
          </cell>
          <cell r="R390">
            <v>1609</v>
          </cell>
          <cell r="S390" t="str">
            <v>70400.00</v>
          </cell>
          <cell r="T390" t="str">
            <v>65,975,360</v>
          </cell>
          <cell r="U390" t="str">
            <v>1270</v>
          </cell>
          <cell r="V390" t="str">
            <v>46952.00</v>
          </cell>
          <cell r="W390">
            <v>44001067</v>
          </cell>
          <cell r="X390" t="str">
            <v>13111928-3</v>
          </cell>
          <cell r="Y390" t="str">
            <v>05-12-2025</v>
          </cell>
          <cell r="Z390" t="str">
            <v>SI</v>
          </cell>
          <cell r="AA390" t="str">
            <v>SI</v>
          </cell>
          <cell r="AB390" t="str">
            <v>03-07-2026</v>
          </cell>
          <cell r="AC390" t="str">
            <v>Sin Aprobar</v>
          </cell>
        </row>
        <row r="391">
          <cell r="A391">
            <v>62</v>
          </cell>
          <cell r="B391" t="str">
            <v>22-11-2025</v>
          </cell>
          <cell r="C391" t="str">
            <v>26-11-2025</v>
          </cell>
          <cell r="D391" t="str">
            <v>MSC CARMELA</v>
          </cell>
          <cell r="E391" t="str">
            <v>MARITIMO</v>
          </cell>
          <cell r="F391" t="str">
            <v>YOGO</v>
          </cell>
          <cell r="G391" t="str">
            <v>LUSHANG INTERNATIONAL TRADE CO., LTD</v>
          </cell>
          <cell r="H391" t="str">
            <v>CEREZAS</v>
          </cell>
          <cell r="I391" t="str">
            <v>SANTINA /</v>
          </cell>
          <cell r="J391" t="str">
            <v>ALMAHUE EXPORT</v>
          </cell>
          <cell r="K391" t="str">
            <v>CONS-LIBRE</v>
          </cell>
          <cell r="L391" t="str">
            <v>FOB</v>
          </cell>
          <cell r="M391" t="str">
            <v>3520</v>
          </cell>
          <cell r="N391" t="str">
            <v>173832.21</v>
          </cell>
          <cell r="O391" t="str">
            <v>10171.93</v>
          </cell>
          <cell r="P391" t="str">
            <v>0.00</v>
          </cell>
          <cell r="Q391" t="str">
            <v>133128.66</v>
          </cell>
          <cell r="R391">
            <v>1618</v>
          </cell>
          <cell r="S391" t="str">
            <v>70400.00</v>
          </cell>
          <cell r="T391" t="str">
            <v>65,975,360</v>
          </cell>
          <cell r="U391" t="str">
            <v>1269</v>
          </cell>
          <cell r="V391" t="str">
            <v>62729.00</v>
          </cell>
          <cell r="W391">
            <v>58786482</v>
          </cell>
          <cell r="X391" t="str">
            <v>13110691-2</v>
          </cell>
          <cell r="Y391" t="str">
            <v>09-12-2025</v>
          </cell>
          <cell r="Z391" t="str">
            <v>SI</v>
          </cell>
          <cell r="AA391" t="str">
            <v>SI</v>
          </cell>
          <cell r="AB391" t="str">
            <v>07-07-2026</v>
          </cell>
          <cell r="AC391" t="str">
            <v>Sin Aprobar</v>
          </cell>
        </row>
        <row r="392">
          <cell r="A392">
            <v>61</v>
          </cell>
          <cell r="B392" t="str">
            <v>20-11-2025</v>
          </cell>
          <cell r="C392" t="str">
            <v>22-11-2025</v>
          </cell>
          <cell r="D392" t="str">
            <v>MANZANILLO EXPRESS</v>
          </cell>
          <cell r="E392" t="str">
            <v>MARITIMO</v>
          </cell>
          <cell r="F392" t="str">
            <v>FRUITJOY</v>
          </cell>
          <cell r="G392" t="str">
            <v>OPTIMIZE INTEGRATION GROUP INC</v>
          </cell>
          <cell r="H392" t="str">
            <v>CEREZAS</v>
          </cell>
          <cell r="I392" t="str">
            <v>SANTINA /</v>
          </cell>
          <cell r="J392" t="str">
            <v>ALMAHUE EXPORT</v>
          </cell>
          <cell r="K392" t="str">
            <v>CONS-LIBRE</v>
          </cell>
          <cell r="L392" t="str">
            <v>FOB</v>
          </cell>
          <cell r="M392" t="str">
            <v>3568</v>
          </cell>
          <cell r="N392" t="str">
            <v>132573.68</v>
          </cell>
          <cell r="O392" t="str">
            <v>9986.25</v>
          </cell>
          <cell r="P392" t="str">
            <v>0.00</v>
          </cell>
          <cell r="Q392" t="str">
            <v>95214.30</v>
          </cell>
          <cell r="R392">
            <v>1594</v>
          </cell>
          <cell r="S392" t="str">
            <v>71360.00</v>
          </cell>
          <cell r="T392" t="str">
            <v>66,293,440</v>
          </cell>
          <cell r="U392" t="str">
            <v>1252</v>
          </cell>
          <cell r="V392" t="str">
            <v>23854.00</v>
          </cell>
          <cell r="W392">
            <v>22160366</v>
          </cell>
          <cell r="X392" t="str">
            <v>13102353-7</v>
          </cell>
          <cell r="Y392" t="str">
            <v>28-11-2025</v>
          </cell>
          <cell r="Z392" t="str">
            <v>SI</v>
          </cell>
          <cell r="AA392" t="str">
            <v>SI</v>
          </cell>
          <cell r="AB392" t="str">
            <v>26-06-2026</v>
          </cell>
          <cell r="AC392" t="str">
            <v>Sin Aprobar</v>
          </cell>
        </row>
        <row r="393">
          <cell r="A393">
            <v>60</v>
          </cell>
          <cell r="B393" t="str">
            <v>20-11-2025</v>
          </cell>
          <cell r="C393" t="str">
            <v>22-11-2025</v>
          </cell>
          <cell r="D393" t="str">
            <v>MANZANILLO EXPRESS</v>
          </cell>
          <cell r="E393" t="str">
            <v>MARITIMO</v>
          </cell>
          <cell r="F393" t="str">
            <v>HING LEE</v>
          </cell>
          <cell r="G393" t="str">
            <v>SHENZHEN JINSHUN'AN INTERNATIONAL FREIGHT FORWARDING CO.,LTD</v>
          </cell>
          <cell r="H393" t="str">
            <v>CEREZAS</v>
          </cell>
          <cell r="I393" t="str">
            <v>SANTINA /</v>
          </cell>
          <cell r="J393" t="str">
            <v>ALMAHUE EXPORT</v>
          </cell>
          <cell r="K393" t="str">
            <v>CONS-LIBRE</v>
          </cell>
          <cell r="L393" t="str">
            <v>FOB</v>
          </cell>
          <cell r="M393" t="str">
            <v>3520</v>
          </cell>
          <cell r="N393" t="str">
            <v>144439.65</v>
          </cell>
          <cell r="O393" t="str">
            <v>10336.00</v>
          </cell>
          <cell r="P393" t="str">
            <v>0.00</v>
          </cell>
          <cell r="Q393" t="str">
            <v>106499.29</v>
          </cell>
          <cell r="R393">
            <v>1593</v>
          </cell>
          <cell r="S393" t="str">
            <v>70400.00</v>
          </cell>
          <cell r="T393" t="str">
            <v>65,401,600</v>
          </cell>
          <cell r="U393" t="str">
            <v>1253</v>
          </cell>
          <cell r="V393" t="str">
            <v>36099.00</v>
          </cell>
          <cell r="W393">
            <v>33535971</v>
          </cell>
          <cell r="X393" t="str">
            <v>13102156-9</v>
          </cell>
          <cell r="Y393" t="str">
            <v>28-11-2025</v>
          </cell>
          <cell r="Z393" t="str">
            <v>SI</v>
          </cell>
          <cell r="AA393" t="str">
            <v>SI</v>
          </cell>
          <cell r="AB393" t="str">
            <v>26-06-2026</v>
          </cell>
          <cell r="AC393" t="str">
            <v>Sin Aprobar</v>
          </cell>
        </row>
        <row r="394">
          <cell r="A394">
            <v>59</v>
          </cell>
          <cell r="B394" t="str">
            <v>22-11-2025</v>
          </cell>
          <cell r="C394" t="str">
            <v>26-11-2025</v>
          </cell>
          <cell r="D394" t="str">
            <v>MSC CARMELA</v>
          </cell>
          <cell r="E394" t="str">
            <v>MARITIMO</v>
          </cell>
          <cell r="F394" t="str">
            <v>KINGO</v>
          </cell>
          <cell r="G394" t="str">
            <v>SHENZHEN FANYA XIANSHIHUI CO.,LTD</v>
          </cell>
          <cell r="H394" t="str">
            <v>CEREZAS</v>
          </cell>
          <cell r="I394" t="str">
            <v>SANTINA /</v>
          </cell>
          <cell r="J394" t="str">
            <v>ALMAHUE EXPORT</v>
          </cell>
          <cell r="K394" t="str">
            <v>CONS-LIBRE</v>
          </cell>
          <cell r="L394" t="str">
            <v>FOB</v>
          </cell>
          <cell r="M394" t="str">
            <v>3520</v>
          </cell>
          <cell r="N394" t="str">
            <v>972279.62</v>
          </cell>
          <cell r="O394" t="str">
            <v>72736.54</v>
          </cell>
          <cell r="P394" t="str">
            <v>0.00</v>
          </cell>
          <cell r="Q394" t="str">
            <v>722696.30</v>
          </cell>
          <cell r="R394">
            <v>1617</v>
          </cell>
          <cell r="S394" t="str">
            <v>70400.00</v>
          </cell>
          <cell r="T394" t="str">
            <v>65,975,360</v>
          </cell>
          <cell r="U394" t="str">
            <v>1268</v>
          </cell>
          <cell r="V394" t="str">
            <v>35380.00</v>
          </cell>
          <cell r="W394">
            <v>33156367</v>
          </cell>
          <cell r="X394" t="str">
            <v>13110667-K</v>
          </cell>
          <cell r="Y394" t="str">
            <v>09-12-2025</v>
          </cell>
          <cell r="Z394" t="str">
            <v>SI</v>
          </cell>
          <cell r="AA394" t="str">
            <v>SI</v>
          </cell>
          <cell r="AB394" t="str">
            <v>07-07-2026</v>
          </cell>
          <cell r="AC394" t="str">
            <v>Sin Aprobar</v>
          </cell>
        </row>
        <row r="395">
          <cell r="A395">
            <v>58</v>
          </cell>
          <cell r="B395" t="str">
            <v>21-11-2025</v>
          </cell>
          <cell r="C395" t="str">
            <v>26-11-2025</v>
          </cell>
          <cell r="D395" t="str">
            <v>MSC CARMELA</v>
          </cell>
          <cell r="E395" t="str">
            <v>MARITIMO</v>
          </cell>
          <cell r="F395" t="str">
            <v>HING LEE</v>
          </cell>
          <cell r="G395" t="str">
            <v>SHENZHEN JINSHUN'AN INTERNATIONAL FREIGHT FORWARDING CO.,LTD</v>
          </cell>
          <cell r="H395" t="str">
            <v>CEREZAS</v>
          </cell>
          <cell r="I395" t="str">
            <v>SANTINA /</v>
          </cell>
          <cell r="J395" t="str">
            <v>ALMAHUE EXPORT</v>
          </cell>
          <cell r="K395" t="str">
            <v>CONS-LIBRE</v>
          </cell>
          <cell r="L395" t="str">
            <v>FOB</v>
          </cell>
          <cell r="M395" t="str">
            <v>3520</v>
          </cell>
          <cell r="N395" t="str">
            <v>159531.10</v>
          </cell>
          <cell r="O395" t="str">
            <v>10177.43</v>
          </cell>
          <cell r="P395" t="str">
            <v>0.00</v>
          </cell>
          <cell r="Q395" t="str">
            <v>120791.42</v>
          </cell>
          <cell r="R395">
            <v>1603</v>
          </cell>
          <cell r="S395" t="str">
            <v>70400.00</v>
          </cell>
          <cell r="T395" t="str">
            <v>65,975,360</v>
          </cell>
          <cell r="U395" t="str">
            <v>1267</v>
          </cell>
          <cell r="V395" t="str">
            <v>50391.00</v>
          </cell>
          <cell r="W395">
            <v>47223926</v>
          </cell>
          <cell r="X395" t="str">
            <v>13107193-0</v>
          </cell>
          <cell r="Y395" t="str">
            <v>09-12-2025</v>
          </cell>
          <cell r="Z395" t="str">
            <v>SI</v>
          </cell>
          <cell r="AA395" t="str">
            <v>SI</v>
          </cell>
          <cell r="AB395" t="str">
            <v>07-07-2026</v>
          </cell>
          <cell r="AC395" t="str">
            <v>Sin Aprobar</v>
          </cell>
        </row>
        <row r="396">
          <cell r="A396">
            <v>57</v>
          </cell>
          <cell r="B396" t="str">
            <v>20-11-2025</v>
          </cell>
          <cell r="C396" t="str">
            <v>22-11-2025</v>
          </cell>
          <cell r="D396" t="str">
            <v>MANZANILLO EXPRESS</v>
          </cell>
          <cell r="E396" t="str">
            <v>MARITIMO</v>
          </cell>
          <cell r="F396" t="str">
            <v>JINSHENG</v>
          </cell>
          <cell r="G396" t="str">
            <v>CHUN WAN YI (GUANGZHOU) SUPPLY CHAIN MANAGEMENT CO., LTD</v>
          </cell>
          <cell r="H396" t="str">
            <v>CEREZAS</v>
          </cell>
          <cell r="I396" t="str">
            <v>SANTINA /</v>
          </cell>
          <cell r="J396" t="str">
            <v>ALMAHUE EXPORT</v>
          </cell>
          <cell r="K396" t="str">
            <v>CONS-LIBRE</v>
          </cell>
          <cell r="L396" t="str">
            <v>FOB</v>
          </cell>
          <cell r="M396" t="str">
            <v>3520</v>
          </cell>
          <cell r="N396" t="str">
            <v>147556.64</v>
          </cell>
          <cell r="O396" t="str">
            <v>10855.00</v>
          </cell>
          <cell r="P396" t="str">
            <v>0.00</v>
          </cell>
          <cell r="Q396" t="str">
            <v>109078.18</v>
          </cell>
          <cell r="R396">
            <v>1599</v>
          </cell>
          <cell r="S396" t="str">
            <v>70400.00</v>
          </cell>
          <cell r="T396" t="str">
            <v>65,401,600</v>
          </cell>
          <cell r="U396" t="str">
            <v>1254</v>
          </cell>
          <cell r="V396" t="str">
            <v>38678.00</v>
          </cell>
          <cell r="W396">
            <v>35931862</v>
          </cell>
          <cell r="X396" t="str">
            <v>13102112-7</v>
          </cell>
          <cell r="Y396" t="str">
            <v>28-11-2025</v>
          </cell>
          <cell r="Z396" t="str">
            <v>SI</v>
          </cell>
          <cell r="AA396" t="str">
            <v>SI</v>
          </cell>
          <cell r="AB396" t="str">
            <v>26-06-2026</v>
          </cell>
          <cell r="AC396" t="str">
            <v>Sin Aprobar</v>
          </cell>
        </row>
        <row r="397">
          <cell r="A397">
            <v>56</v>
          </cell>
          <cell r="B397" t="str">
            <v>21-11-2025</v>
          </cell>
          <cell r="C397" t="str">
            <v>26-11-2025</v>
          </cell>
          <cell r="D397" t="str">
            <v>MSC CARMELA</v>
          </cell>
          <cell r="E397" t="str">
            <v>MARITIMO</v>
          </cell>
          <cell r="F397" t="str">
            <v>HING LEE</v>
          </cell>
          <cell r="G397" t="str">
            <v>SHENZHEN JINSHUN'AN INTERNATIONAL FREIGHT FORWARDING CO.,LTD</v>
          </cell>
          <cell r="H397" t="str">
            <v>CEREZAS</v>
          </cell>
          <cell r="I397" t="str">
            <v>SANTINA /</v>
          </cell>
          <cell r="J397" t="str">
            <v>ALMAHUE EXPORT</v>
          </cell>
          <cell r="K397" t="str">
            <v>CONS-LIBRE</v>
          </cell>
          <cell r="L397" t="str">
            <v>FOB</v>
          </cell>
          <cell r="M397" t="str">
            <v>3520</v>
          </cell>
          <cell r="N397" t="str">
            <v>152811.22</v>
          </cell>
          <cell r="O397" t="str">
            <v>10257.45</v>
          </cell>
          <cell r="P397" t="str">
            <v>0.00</v>
          </cell>
          <cell r="Q397" t="str">
            <v>114982.13</v>
          </cell>
          <cell r="R397">
            <v>1602</v>
          </cell>
          <cell r="S397" t="str">
            <v>70400.00</v>
          </cell>
          <cell r="T397" t="str">
            <v>65,975,360</v>
          </cell>
          <cell r="U397" t="str">
            <v>1266</v>
          </cell>
          <cell r="V397" t="str">
            <v>44582.00</v>
          </cell>
          <cell r="W397">
            <v>41780021</v>
          </cell>
          <cell r="X397" t="str">
            <v>13107908-7</v>
          </cell>
          <cell r="Y397" t="str">
            <v>05-12-2025</v>
          </cell>
          <cell r="Z397" t="str">
            <v>SI</v>
          </cell>
          <cell r="AA397" t="str">
            <v>SI</v>
          </cell>
          <cell r="AB397" t="str">
            <v>03-07-2026</v>
          </cell>
          <cell r="AC397" t="str">
            <v>Sin Aprobar</v>
          </cell>
        </row>
        <row r="398">
          <cell r="A398">
            <v>55</v>
          </cell>
          <cell r="B398" t="str">
            <v>20-11-2025</v>
          </cell>
          <cell r="C398" t="str">
            <v>22-11-2025</v>
          </cell>
          <cell r="D398" t="str">
            <v>MANZANILLO EXPRESS</v>
          </cell>
          <cell r="E398" t="str">
            <v>MARITIMO</v>
          </cell>
          <cell r="F398" t="str">
            <v>HUASHENG</v>
          </cell>
          <cell r="G398" t="str">
            <v>CHUN WAN YI (GUANGZHOU) SUPPLY CHAIN MANAGEMENT CO., LTD</v>
          </cell>
          <cell r="H398" t="str">
            <v>CEREZAS</v>
          </cell>
          <cell r="I398" t="str">
            <v>SANTINA /</v>
          </cell>
          <cell r="J398" t="str">
            <v>ALMAHUE EXPORT</v>
          </cell>
          <cell r="K398" t="str">
            <v>CONS-LIBRE</v>
          </cell>
          <cell r="L398" t="str">
            <v>FOB</v>
          </cell>
          <cell r="M398" t="str">
            <v>3520</v>
          </cell>
          <cell r="N398" t="str">
            <v>152060.89</v>
          </cell>
          <cell r="O398" t="str">
            <v>9549.09</v>
          </cell>
          <cell r="P398" t="str">
            <v>0.00</v>
          </cell>
          <cell r="Q398" t="str">
            <v>113882.82</v>
          </cell>
          <cell r="R398">
            <v>1598</v>
          </cell>
          <cell r="S398" t="str">
            <v>70400.00</v>
          </cell>
          <cell r="T398" t="str">
            <v>65,401,600</v>
          </cell>
          <cell r="U398" t="str">
            <v>1255</v>
          </cell>
          <cell r="V398" t="str">
            <v>43483.00</v>
          </cell>
          <cell r="W398">
            <v>40395707</v>
          </cell>
          <cell r="X398" t="str">
            <v>13102377-4</v>
          </cell>
          <cell r="Y398" t="str">
            <v>28-11-2025</v>
          </cell>
          <cell r="Z398" t="str">
            <v>SI</v>
          </cell>
          <cell r="AA398" t="str">
            <v>SI</v>
          </cell>
          <cell r="AB398" t="str">
            <v>26-06-2026</v>
          </cell>
          <cell r="AC398" t="str">
            <v>Sin Aprobar</v>
          </cell>
        </row>
        <row r="399">
          <cell r="A399">
            <v>54</v>
          </cell>
          <cell r="B399" t="str">
            <v>20-11-2025</v>
          </cell>
          <cell r="C399" t="str">
            <v>22-11-2025</v>
          </cell>
          <cell r="D399" t="str">
            <v>MANZANILLO EXPRESS</v>
          </cell>
          <cell r="E399" t="str">
            <v>MARITIMO</v>
          </cell>
          <cell r="F399" t="str">
            <v>YOGO</v>
          </cell>
          <cell r="G399" t="str">
            <v>LUSHANG INTERNATIONAL TRADE CO., LTD.</v>
          </cell>
          <cell r="H399" t="str">
            <v>CEREZAS</v>
          </cell>
          <cell r="I399" t="str">
            <v>SANTINA /</v>
          </cell>
          <cell r="J399" t="str">
            <v>ALMAHUE EXPORT</v>
          </cell>
          <cell r="K399" t="str">
            <v>CONS-LIBRE</v>
          </cell>
          <cell r="L399" t="str">
            <v>FOB</v>
          </cell>
          <cell r="M399" t="str">
            <v>3520</v>
          </cell>
          <cell r="N399" t="str">
            <v>162676.92</v>
          </cell>
          <cell r="O399" t="str">
            <v>10266.00</v>
          </cell>
          <cell r="P399" t="str">
            <v>0.00</v>
          </cell>
          <cell r="Q399" t="str">
            <v>123041.92</v>
          </cell>
          <cell r="R399">
            <v>1597</v>
          </cell>
          <cell r="S399" t="str">
            <v>70400.00</v>
          </cell>
          <cell r="T399" t="str">
            <v>65,401,600</v>
          </cell>
          <cell r="U399" t="str">
            <v>1256</v>
          </cell>
          <cell r="V399" t="str">
            <v>52642.00</v>
          </cell>
          <cell r="W399">
            <v>48904418</v>
          </cell>
          <cell r="X399" t="str">
            <v>13102291-3</v>
          </cell>
          <cell r="Y399" t="str">
            <v>28-11-2025</v>
          </cell>
          <cell r="Z399" t="str">
            <v>SI</v>
          </cell>
          <cell r="AA399" t="str">
            <v>SI</v>
          </cell>
          <cell r="AB399" t="str">
            <v>26-06-2026</v>
          </cell>
          <cell r="AC399" t="str">
            <v>Sin Aprobar</v>
          </cell>
        </row>
        <row r="400">
          <cell r="A400">
            <v>53</v>
          </cell>
          <cell r="B400" t="str">
            <v>20-11-2025</v>
          </cell>
          <cell r="C400" t="str">
            <v>22-11-2025</v>
          </cell>
          <cell r="D400" t="str">
            <v>MANZANILLO EXPRESS</v>
          </cell>
          <cell r="E400" t="str">
            <v>MARITIMO</v>
          </cell>
          <cell r="F400" t="str">
            <v>YUERUN TRADING</v>
          </cell>
          <cell r="G400" t="str">
            <v>SHENZHEN FANYA XIANSHIHUI CO.,LTD</v>
          </cell>
          <cell r="H400" t="str">
            <v>CEREZAS</v>
          </cell>
          <cell r="I400" t="str">
            <v>SANTINA /</v>
          </cell>
          <cell r="J400" t="str">
            <v>ALMAHUE EXPORT</v>
          </cell>
          <cell r="K400" t="str">
            <v>CONS-LIBRE</v>
          </cell>
          <cell r="L400" t="str">
            <v>FOB</v>
          </cell>
          <cell r="M400" t="str">
            <v>3520</v>
          </cell>
          <cell r="N400" t="str">
            <v>1134570.98</v>
          </cell>
          <cell r="O400" t="str">
            <v>73343.67</v>
          </cell>
          <cell r="P400" t="str">
            <v>0.00</v>
          </cell>
          <cell r="Q400" t="str">
            <v>867010.92</v>
          </cell>
          <cell r="R400">
            <v>1592</v>
          </cell>
          <cell r="S400" t="str">
            <v>70400.00</v>
          </cell>
          <cell r="T400" t="str">
            <v>65,401,600</v>
          </cell>
          <cell r="U400" t="str">
            <v>1257</v>
          </cell>
          <cell r="V400" t="str">
            <v>55619.00</v>
          </cell>
          <cell r="W400">
            <v>51670051</v>
          </cell>
          <cell r="X400" t="str">
            <v>13102187-9</v>
          </cell>
          <cell r="Y400" t="str">
            <v>28-11-2025</v>
          </cell>
          <cell r="Z400" t="str">
            <v>SI</v>
          </cell>
          <cell r="AA400" t="str">
            <v>SI</v>
          </cell>
          <cell r="AB400" t="str">
            <v>26-06-2026</v>
          </cell>
          <cell r="AC400" t="str">
            <v>Sin Aprobar</v>
          </cell>
        </row>
        <row r="401">
          <cell r="A401">
            <v>52</v>
          </cell>
          <cell r="B401" t="str">
            <v>19-11-2025</v>
          </cell>
          <cell r="C401" t="str">
            <v>22-11-2025</v>
          </cell>
          <cell r="D401" t="str">
            <v>MANZANILLO EXPRESS</v>
          </cell>
          <cell r="E401" t="str">
            <v>MARITIMO</v>
          </cell>
          <cell r="F401" t="str">
            <v>YOGO</v>
          </cell>
          <cell r="G401" t="str">
            <v>LUSHANG INTERNATIONAL TRADE CO., LTD.</v>
          </cell>
          <cell r="H401" t="str">
            <v>CEREZAS</v>
          </cell>
          <cell r="I401" t="str">
            <v>BROOKS / ROYAL DAWN / SANTINA /</v>
          </cell>
          <cell r="J401" t="str">
            <v>ALMAHUE EXPORT</v>
          </cell>
          <cell r="K401" t="str">
            <v>CONS-LIBRE</v>
          </cell>
          <cell r="L401" t="str">
            <v>FOB</v>
          </cell>
          <cell r="M401" t="str">
            <v>3380</v>
          </cell>
          <cell r="N401" t="str">
            <v>114606.29</v>
          </cell>
          <cell r="O401" t="str">
            <v>10266.22</v>
          </cell>
          <cell r="P401" t="str">
            <v>0.00</v>
          </cell>
          <cell r="Q401" t="str">
            <v>80489.80</v>
          </cell>
          <cell r="R401">
            <v>1596</v>
          </cell>
          <cell r="S401" t="str">
            <v>66450.00</v>
          </cell>
          <cell r="T401" t="str">
            <v>61,732,050</v>
          </cell>
          <cell r="U401" t="str">
            <v>1258</v>
          </cell>
          <cell r="V401" t="str">
            <v>14040.00</v>
          </cell>
          <cell r="W401">
            <v>13043160</v>
          </cell>
          <cell r="X401" t="str">
            <v>13102177-1</v>
          </cell>
          <cell r="Y401" t="str">
            <v>28-11-2025</v>
          </cell>
          <cell r="Z401" t="str">
            <v>SI</v>
          </cell>
          <cell r="AA401" t="str">
            <v>SI</v>
          </cell>
          <cell r="AB401" t="str">
            <v>26-06-2026</v>
          </cell>
          <cell r="AC401" t="str">
            <v>Sin Aprobar</v>
          </cell>
        </row>
        <row r="402">
          <cell r="A402">
            <v>51</v>
          </cell>
          <cell r="B402" t="str">
            <v>20-11-2025</v>
          </cell>
          <cell r="C402" t="str">
            <v>22-11-2025</v>
          </cell>
          <cell r="D402" t="str">
            <v>MANZANILLO EXPRESS</v>
          </cell>
          <cell r="E402" t="str">
            <v>MARITIMO</v>
          </cell>
          <cell r="F402" t="str">
            <v>KINGO</v>
          </cell>
          <cell r="G402" t="str">
            <v>SHENZHEN FANYA XIANSHIHUI CO.,LTD</v>
          </cell>
          <cell r="H402" t="str">
            <v>CEREZAS</v>
          </cell>
          <cell r="I402" t="str">
            <v>SANTINA /</v>
          </cell>
          <cell r="J402" t="str">
            <v>ALMAHUE EXPORT</v>
          </cell>
          <cell r="K402" t="str">
            <v>CONS-LIBRE</v>
          </cell>
          <cell r="L402" t="str">
            <v>FOB</v>
          </cell>
          <cell r="M402" t="str">
            <v>3608</v>
          </cell>
          <cell r="N402" t="str">
            <v>899289.61</v>
          </cell>
          <cell r="O402" t="str">
            <v>72884.86</v>
          </cell>
          <cell r="P402" t="str">
            <v>0.00</v>
          </cell>
          <cell r="Q402" t="str">
            <v>665429.41</v>
          </cell>
          <cell r="R402">
            <v>1595</v>
          </cell>
          <cell r="S402" t="str">
            <v>72160.00</v>
          </cell>
          <cell r="T402" t="str">
            <v>67,036,640</v>
          </cell>
          <cell r="U402" t="str">
            <v>1259</v>
          </cell>
          <cell r="V402" t="str">
            <v>24559.00</v>
          </cell>
          <cell r="W402">
            <v>22815311</v>
          </cell>
          <cell r="X402" t="str">
            <v>13102145-3</v>
          </cell>
          <cell r="Y402" t="str">
            <v>28-11-2025</v>
          </cell>
          <cell r="Z402" t="str">
            <v>SI</v>
          </cell>
          <cell r="AA402" t="str">
            <v>SI</v>
          </cell>
          <cell r="AB402" t="str">
            <v>26-06-2026</v>
          </cell>
          <cell r="AC402" t="str">
            <v>Sin Aprobar</v>
          </cell>
        </row>
        <row r="403">
          <cell r="A403">
            <v>50</v>
          </cell>
          <cell r="B403" t="str">
            <v>19-11-2025</v>
          </cell>
          <cell r="C403" t="str">
            <v>22-11-2025</v>
          </cell>
          <cell r="D403" t="str">
            <v>MANZANILLO EXPRESS</v>
          </cell>
          <cell r="E403" t="str">
            <v>MARITIMO</v>
          </cell>
          <cell r="F403" t="str">
            <v>FRUITJOY</v>
          </cell>
          <cell r="G403" t="str">
            <v>OPTIMIZE INTEGRATION GROUP INC</v>
          </cell>
          <cell r="H403" t="str">
            <v>CEREZAS</v>
          </cell>
          <cell r="I403" t="str">
            <v>SANTINA /</v>
          </cell>
          <cell r="J403" t="str">
            <v>ALMAHUE EXPORT</v>
          </cell>
          <cell r="K403" t="str">
            <v>CONS-LIBRE</v>
          </cell>
          <cell r="L403" t="str">
            <v>FOB</v>
          </cell>
          <cell r="M403" t="str">
            <v>3520</v>
          </cell>
          <cell r="N403" t="str">
            <v>147212.04</v>
          </cell>
          <cell r="O403" t="str">
            <v>10173.60</v>
          </cell>
          <cell r="P403" t="str">
            <v>0.00</v>
          </cell>
          <cell r="Q403" t="str">
            <v>108106.12</v>
          </cell>
          <cell r="R403">
            <v>1591</v>
          </cell>
          <cell r="S403" t="str">
            <v>70400.00</v>
          </cell>
          <cell r="T403" t="str">
            <v>65,401,600</v>
          </cell>
          <cell r="U403" t="str">
            <v>1260</v>
          </cell>
          <cell r="V403" t="str">
            <v>37706.00</v>
          </cell>
          <cell r="W403">
            <v>35028874</v>
          </cell>
          <cell r="X403" t="str">
            <v>13102078-3</v>
          </cell>
          <cell r="Y403" t="str">
            <v>28-11-2025</v>
          </cell>
          <cell r="Z403" t="str">
            <v>SI</v>
          </cell>
          <cell r="AA403" t="str">
            <v>SI</v>
          </cell>
          <cell r="AB403" t="str">
            <v>26-06-2026</v>
          </cell>
          <cell r="AC403" t="str">
            <v>Sin Aprobar</v>
          </cell>
        </row>
        <row r="404">
          <cell r="A404">
            <v>49</v>
          </cell>
          <cell r="B404" t="str">
            <v>19-11-2025</v>
          </cell>
          <cell r="C404" t="str">
            <v>22-11-2025</v>
          </cell>
          <cell r="D404" t="str">
            <v>MANZANILLO EXPRESS</v>
          </cell>
          <cell r="E404" t="str">
            <v>MARITIMO</v>
          </cell>
          <cell r="F404" t="str">
            <v>HING LEE</v>
          </cell>
          <cell r="G404" t="str">
            <v>SHENZHEN JINSHUN'AN INTERNATIONAL FREIGHT FORWARDING CO.,LTD</v>
          </cell>
          <cell r="H404" t="str">
            <v>CEREZAS</v>
          </cell>
          <cell r="I404" t="str">
            <v>SANTINA /</v>
          </cell>
          <cell r="J404" t="str">
            <v>ALMAHUE EXPORT</v>
          </cell>
          <cell r="K404" t="str">
            <v>CONS-LIBRE</v>
          </cell>
          <cell r="L404" t="str">
            <v>FOB</v>
          </cell>
          <cell r="M404" t="str">
            <v>3600</v>
          </cell>
          <cell r="N404" t="str">
            <v>120787.68</v>
          </cell>
          <cell r="O404" t="str">
            <v>10336.00</v>
          </cell>
          <cell r="P404" t="str">
            <v>0.00</v>
          </cell>
          <cell r="Q404" t="str">
            <v>84452.38</v>
          </cell>
          <cell r="R404">
            <v>1590</v>
          </cell>
          <cell r="S404" t="str">
            <v>72000.00</v>
          </cell>
          <cell r="T404" t="str">
            <v>66,888,000</v>
          </cell>
          <cell r="U404" t="str">
            <v>1261</v>
          </cell>
          <cell r="V404" t="str">
            <v>12452.00</v>
          </cell>
          <cell r="W404">
            <v>11567908</v>
          </cell>
          <cell r="X404" t="str">
            <v>13102277-8</v>
          </cell>
          <cell r="Y404" t="str">
            <v>28-11-2025</v>
          </cell>
          <cell r="Z404" t="str">
            <v>SI</v>
          </cell>
          <cell r="AA404" t="str">
            <v>SI</v>
          </cell>
          <cell r="AB404" t="str">
            <v>26-06-2026</v>
          </cell>
          <cell r="AC404" t="str">
            <v>Sin Aprobar</v>
          </cell>
        </row>
        <row r="405">
          <cell r="A405">
            <v>48</v>
          </cell>
          <cell r="B405" t="str">
            <v>19-11-2025</v>
          </cell>
          <cell r="C405" t="str">
            <v>20-11-2025</v>
          </cell>
          <cell r="D405" t="str">
            <v>TURKISH</v>
          </cell>
          <cell r="E405" t="str">
            <v>AEREO</v>
          </cell>
          <cell r="F405" t="str">
            <v>HING LEE</v>
          </cell>
          <cell r="G405" t="str">
            <v>CHUN WAN YI (GUANGZHOU) SUPPLY CHAIN MANAGEMENT CO., LTD</v>
          </cell>
          <cell r="H405" t="str">
            <v>CEREZAS</v>
          </cell>
          <cell r="I405" t="str">
            <v>SANTINA /</v>
          </cell>
          <cell r="J405" t="str">
            <v>ALMAHUE EXPORT</v>
          </cell>
          <cell r="K405" t="str">
            <v>CONS-LIBRE</v>
          </cell>
          <cell r="L405" t="str">
            <v>CIF</v>
          </cell>
          <cell r="M405" t="str">
            <v>560</v>
          </cell>
          <cell r="N405" t="str">
            <v>47641.44</v>
          </cell>
          <cell r="O405" t="str">
            <v>16434.60</v>
          </cell>
          <cell r="P405" t="str">
            <v>0.00</v>
          </cell>
          <cell r="Q405" t="str">
            <v>21512.52</v>
          </cell>
          <cell r="R405">
            <v>1589</v>
          </cell>
          <cell r="S405" t="str">
            <v>28000.00</v>
          </cell>
          <cell r="T405" t="str">
            <v>26,019,280</v>
          </cell>
          <cell r="U405" t="str">
            <v>1208</v>
          </cell>
          <cell r="V405" t="str">
            <v>10059.00</v>
          </cell>
          <cell r="W405">
            <v>9347426</v>
          </cell>
          <cell r="X405" t="str">
            <v>13101850-9</v>
          </cell>
          <cell r="Y405" t="str">
            <v>28-11-2025</v>
          </cell>
          <cell r="Z405" t="str">
            <v>SI</v>
          </cell>
          <cell r="AA405" t="str">
            <v>SI</v>
          </cell>
          <cell r="AB405" t="str">
            <v>26-06-2026</v>
          </cell>
          <cell r="AC405" t="str">
            <v>Sin Aprobar</v>
          </cell>
        </row>
        <row r="406">
          <cell r="A406">
            <v>47</v>
          </cell>
          <cell r="B406" t="str">
            <v>19-11-2025</v>
          </cell>
          <cell r="C406" t="str">
            <v>20-11-2025</v>
          </cell>
          <cell r="D406" t="str">
            <v>TURKISH</v>
          </cell>
          <cell r="E406" t="str">
            <v>AEREO</v>
          </cell>
          <cell r="F406" t="str">
            <v>YUERUN TRADING</v>
          </cell>
          <cell r="G406" t="str">
            <v>SHENZHEN FANYA XIANSHIHUI CO.,LTD</v>
          </cell>
          <cell r="H406" t="str">
            <v>CEREZAS</v>
          </cell>
          <cell r="I406" t="str">
            <v>SANTINA /</v>
          </cell>
          <cell r="J406" t="str">
            <v>ALMAHUE EXPORT</v>
          </cell>
          <cell r="K406" t="str">
            <v>CONS-LIBRE</v>
          </cell>
          <cell r="L406" t="str">
            <v>CIF</v>
          </cell>
          <cell r="M406" t="str">
            <v>560</v>
          </cell>
          <cell r="N406" t="str">
            <v>377250.00</v>
          </cell>
          <cell r="O406" t="str">
            <v>166302.00</v>
          </cell>
          <cell r="P406" t="str">
            <v>0.00</v>
          </cell>
          <cell r="Q406" t="str">
            <v>148469.00</v>
          </cell>
          <cell r="R406">
            <v>1588</v>
          </cell>
          <cell r="S406" t="str">
            <v>28000.00</v>
          </cell>
          <cell r="T406" t="str">
            <v>26,019,280</v>
          </cell>
          <cell r="U406" t="str">
            <v>1209</v>
          </cell>
          <cell r="V406" t="str">
            <v>17027.00</v>
          </cell>
          <cell r="W406">
            <v>15822510</v>
          </cell>
          <cell r="X406" t="str">
            <v>13101849-5</v>
          </cell>
          <cell r="Y406" t="str">
            <v>04-12-2025</v>
          </cell>
          <cell r="Z406" t="str">
            <v>SI</v>
          </cell>
          <cell r="AA406" t="str">
            <v>SI</v>
          </cell>
          <cell r="AB406" t="str">
            <v>02-07-2026</v>
          </cell>
          <cell r="AC406" t="str">
            <v>Sin Aprobar</v>
          </cell>
        </row>
        <row r="407">
          <cell r="A407">
            <v>46</v>
          </cell>
          <cell r="B407" t="str">
            <v>19-11-2025</v>
          </cell>
          <cell r="C407" t="str">
            <v>20-11-2025</v>
          </cell>
          <cell r="D407" t="str">
            <v>TURKISH</v>
          </cell>
          <cell r="E407" t="str">
            <v>AEREO</v>
          </cell>
          <cell r="F407" t="str">
            <v>HUASHENG</v>
          </cell>
          <cell r="G407" t="str">
            <v>SHENZHEN FANYA XIANSHIHUI CO.,LTD</v>
          </cell>
          <cell r="H407" t="str">
            <v>CEREZAS</v>
          </cell>
          <cell r="I407" t="str">
            <v>SANTINA /</v>
          </cell>
          <cell r="J407" t="str">
            <v>ALMAHUE EXPORT</v>
          </cell>
          <cell r="K407" t="str">
            <v>CONS-LIBRE</v>
          </cell>
          <cell r="L407" t="str">
            <v>CIF</v>
          </cell>
          <cell r="M407" t="str">
            <v>560</v>
          </cell>
          <cell r="N407" t="str">
            <v>49311.11</v>
          </cell>
          <cell r="O407" t="str">
            <v>16498.30</v>
          </cell>
          <cell r="P407" t="str">
            <v>0.00</v>
          </cell>
          <cell r="Q407" t="str">
            <v>24601.24</v>
          </cell>
          <cell r="R407">
            <v>1587</v>
          </cell>
          <cell r="S407" t="str">
            <v>28000.00</v>
          </cell>
          <cell r="T407" t="str">
            <v>26,019,280</v>
          </cell>
          <cell r="U407" t="str">
            <v>1210</v>
          </cell>
          <cell r="V407" t="str">
            <v>13212.00</v>
          </cell>
          <cell r="W407">
            <v>12277383</v>
          </cell>
          <cell r="X407" t="str">
            <v>13101848-7</v>
          </cell>
          <cell r="Y407" t="str">
            <v>28-11-2025</v>
          </cell>
          <cell r="Z407" t="str">
            <v>SI</v>
          </cell>
          <cell r="AA407" t="str">
            <v>SI</v>
          </cell>
          <cell r="AB407" t="str">
            <v>26-06-2026</v>
          </cell>
          <cell r="AC407" t="str">
            <v>Sin Aprobar</v>
          </cell>
        </row>
        <row r="408">
          <cell r="A408">
            <v>45</v>
          </cell>
          <cell r="B408" t="str">
            <v>16-11-2025</v>
          </cell>
          <cell r="C408" t="str">
            <v>20-11-2025</v>
          </cell>
          <cell r="D408" t="str">
            <v>GUAYAQUIL EXPRESS</v>
          </cell>
          <cell r="E408" t="str">
            <v>MARITIMO</v>
          </cell>
          <cell r="F408" t="str">
            <v>VINTAGE FRUIT</v>
          </cell>
          <cell r="G408" t="str">
            <v>VINTAGE FRUIT, LDA</v>
          </cell>
          <cell r="H408" t="str">
            <v>CEREZAS</v>
          </cell>
          <cell r="I408" t="str">
            <v>SANTINA /</v>
          </cell>
          <cell r="J408" t="str">
            <v>ALMAHUE EXPORT</v>
          </cell>
          <cell r="K408" t="str">
            <v>CONS-LIBRE</v>
          </cell>
          <cell r="L408" t="str">
            <v>FOB</v>
          </cell>
          <cell r="M408" t="str">
            <v>3520</v>
          </cell>
          <cell r="N408" t="str">
            <v>152396.99</v>
          </cell>
          <cell r="O408" t="str">
            <v>8532.73</v>
          </cell>
          <cell r="P408" t="str">
            <v>0.00</v>
          </cell>
          <cell r="Q408" t="str">
            <v>126030.50</v>
          </cell>
          <cell r="R408">
            <v>1600</v>
          </cell>
          <cell r="S408" t="str">
            <v>70400.00</v>
          </cell>
          <cell r="T408" t="str">
            <v>65,567,744</v>
          </cell>
          <cell r="U408" t="str">
            <v>1251</v>
          </cell>
          <cell r="V408" t="str">
            <v>55631.00</v>
          </cell>
          <cell r="W408">
            <v>51812488</v>
          </cell>
          <cell r="X408" t="str">
            <v>13095290-9</v>
          </cell>
          <cell r="Y408" t="str">
            <v>25-11-2025</v>
          </cell>
          <cell r="Z408" t="str">
            <v>SI</v>
          </cell>
          <cell r="AA408" t="str">
            <v>SI</v>
          </cell>
          <cell r="AB408" t="str">
            <v>23-06-2026</v>
          </cell>
          <cell r="AC408" t="str">
            <v>Sin Aprobar</v>
          </cell>
        </row>
        <row r="409">
          <cell r="A409">
            <v>44</v>
          </cell>
          <cell r="B409" t="str">
            <v>18-11-2025</v>
          </cell>
          <cell r="C409" t="str">
            <v>19-11-2025</v>
          </cell>
          <cell r="D409" t="str">
            <v>MSC ANS</v>
          </cell>
          <cell r="E409" t="str">
            <v>MARITIMO</v>
          </cell>
          <cell r="F409" t="str">
            <v>PAGODA</v>
          </cell>
          <cell r="G409" t="str">
            <v>SHANGHAI HUI ZHAN INTERNATIONAL TRADE CO., LTD</v>
          </cell>
          <cell r="H409" t="str">
            <v>CEREZAS</v>
          </cell>
          <cell r="I409" t="str">
            <v>SANTINA /</v>
          </cell>
          <cell r="J409" t="str">
            <v>ALMAHUE EXPORT</v>
          </cell>
          <cell r="K409" t="str">
            <v>CONS-LIBRE</v>
          </cell>
          <cell r="L409" t="str">
            <v>FOB</v>
          </cell>
          <cell r="M409" t="str">
            <v>3520</v>
          </cell>
          <cell r="N409" t="str">
            <v>175634.45</v>
          </cell>
          <cell r="O409" t="str">
            <v>10371.60</v>
          </cell>
          <cell r="P409" t="str">
            <v>0.00</v>
          </cell>
          <cell r="Q409" t="str">
            <v>137690.60</v>
          </cell>
          <cell r="R409">
            <v>1586</v>
          </cell>
          <cell r="S409" t="str">
            <v>70400.00</v>
          </cell>
          <cell r="T409" t="str">
            <v>65,419,904</v>
          </cell>
          <cell r="U409" t="str">
            <v>1234</v>
          </cell>
          <cell r="V409" t="str">
            <v>67291.00</v>
          </cell>
          <cell r="W409">
            <v>62530835</v>
          </cell>
          <cell r="X409" t="str">
            <v>13096942-9</v>
          </cell>
          <cell r="Y409" t="str">
            <v>26-11-2025</v>
          </cell>
          <cell r="Z409" t="str">
            <v>SI</v>
          </cell>
          <cell r="AA409" t="str">
            <v>SI</v>
          </cell>
          <cell r="AB409" t="str">
            <v>24-06-2026</v>
          </cell>
          <cell r="AC409" t="str">
            <v>Sin Aprobar</v>
          </cell>
        </row>
        <row r="410">
          <cell r="A410">
            <v>43</v>
          </cell>
          <cell r="B410" t="str">
            <v>15-11-2025</v>
          </cell>
          <cell r="C410" t="str">
            <v>19-11-2025</v>
          </cell>
          <cell r="D410" t="str">
            <v>MSC ANS</v>
          </cell>
          <cell r="E410" t="str">
            <v>MARITIMO</v>
          </cell>
          <cell r="F410" t="str">
            <v>XINGWAN</v>
          </cell>
          <cell r="G410" t="str">
            <v>SHENZHEN OHENG IMPORT &amp; EXPORT CO.,LTD.</v>
          </cell>
          <cell r="H410" t="str">
            <v>CEREZAS</v>
          </cell>
          <cell r="I410" t="str">
            <v>ROYAL DAWN / SANTINA /</v>
          </cell>
          <cell r="J410" t="str">
            <v>ALMAHUE EXPORT</v>
          </cell>
          <cell r="K410" t="str">
            <v>CONS-LIBRE</v>
          </cell>
          <cell r="L410" t="str">
            <v>FOB</v>
          </cell>
          <cell r="M410" t="str">
            <v>3558</v>
          </cell>
          <cell r="N410" t="str">
            <v>928127.32</v>
          </cell>
          <cell r="O410" t="str">
            <v>73112.58</v>
          </cell>
          <cell r="P410" t="str">
            <v>0.00</v>
          </cell>
          <cell r="Q410" t="str">
            <v>667986.70</v>
          </cell>
          <cell r="R410">
            <v>1585</v>
          </cell>
          <cell r="S410" t="str">
            <v>71160.00</v>
          </cell>
          <cell r="T410" t="str">
            <v>66,126,142</v>
          </cell>
          <cell r="U410" t="str">
            <v>1235</v>
          </cell>
          <cell r="V410" t="str">
            <v>25931.00</v>
          </cell>
          <cell r="W410">
            <v>24096641</v>
          </cell>
          <cell r="X410" t="str">
            <v>13094852-9</v>
          </cell>
          <cell r="Y410" t="str">
            <v>25-11-2025</v>
          </cell>
          <cell r="Z410" t="str">
            <v>SI</v>
          </cell>
          <cell r="AA410" t="str">
            <v>SI</v>
          </cell>
          <cell r="AB410" t="str">
            <v>23-06-2026</v>
          </cell>
          <cell r="AC410" t="str">
            <v>Sin Aprobar</v>
          </cell>
        </row>
        <row r="411">
          <cell r="A411">
            <v>42</v>
          </cell>
          <cell r="B411" t="str">
            <v>15-11-2025</v>
          </cell>
          <cell r="C411" t="str">
            <v>18-11-2025</v>
          </cell>
          <cell r="D411" t="str">
            <v>MSC ANS</v>
          </cell>
          <cell r="E411" t="str">
            <v>MARITIMO</v>
          </cell>
          <cell r="F411" t="str">
            <v>YOGO</v>
          </cell>
          <cell r="G411" t="str">
            <v>LUSHANG INTERNATIONAL TRADE CO., LTD.</v>
          </cell>
          <cell r="H411" t="str">
            <v>CEREZAS</v>
          </cell>
          <cell r="I411" t="str">
            <v>BROOKS / ROYAL DAWN / SANTINA /</v>
          </cell>
          <cell r="J411" t="str">
            <v>ALMAHUE EXPORT</v>
          </cell>
          <cell r="K411" t="str">
            <v>CONS-LIBRE</v>
          </cell>
          <cell r="L411" t="str">
            <v>FOB</v>
          </cell>
          <cell r="M411" t="str">
            <v>3536</v>
          </cell>
          <cell r="N411" t="str">
            <v>119495.11</v>
          </cell>
          <cell r="O411" t="str">
            <v>10262.40</v>
          </cell>
          <cell r="P411" t="str">
            <v>0.00</v>
          </cell>
          <cell r="Q411" t="str">
            <v>84780.92</v>
          </cell>
          <cell r="R411">
            <v>1584</v>
          </cell>
          <cell r="S411" t="str">
            <v>70720.00</v>
          </cell>
          <cell r="T411" t="str">
            <v>65,717,267</v>
          </cell>
          <cell r="U411" t="str">
            <v>1236</v>
          </cell>
          <cell r="V411" t="str">
            <v>14061.00</v>
          </cell>
          <cell r="W411">
            <v>13066325</v>
          </cell>
          <cell r="X411" t="str">
            <v>13095284-4</v>
          </cell>
          <cell r="Y411" t="str">
            <v>25-11-2025</v>
          </cell>
          <cell r="Z411" t="str">
            <v>SI</v>
          </cell>
          <cell r="AA411" t="str">
            <v>SI</v>
          </cell>
          <cell r="AB411" t="str">
            <v>23-06-2026</v>
          </cell>
          <cell r="AC411" t="str">
            <v>Sin Aprobar</v>
          </cell>
        </row>
        <row r="412">
          <cell r="A412">
            <v>41</v>
          </cell>
          <cell r="B412" t="str">
            <v>15-11-2025</v>
          </cell>
          <cell r="C412" t="str">
            <v>19-11-2025</v>
          </cell>
          <cell r="D412" t="str">
            <v>MSC ANS</v>
          </cell>
          <cell r="E412" t="str">
            <v>MARITIMO</v>
          </cell>
          <cell r="F412" t="str">
            <v>CHEN SUN</v>
          </cell>
          <cell r="G412" t="str">
            <v>LUSHANG INTERNATIONAL TRADE CO., LTD.</v>
          </cell>
          <cell r="H412" t="str">
            <v>CEREZAS</v>
          </cell>
          <cell r="I412" t="str">
            <v>SANTINA / SWEET ARYANA /</v>
          </cell>
          <cell r="J412" t="str">
            <v>ALMAHUE EXPORT</v>
          </cell>
          <cell r="K412" t="str">
            <v>CONS-LIBRE</v>
          </cell>
          <cell r="L412" t="str">
            <v>FOB</v>
          </cell>
          <cell r="M412" t="str">
            <v>3568</v>
          </cell>
          <cell r="N412" t="str">
            <v>944949.39</v>
          </cell>
          <cell r="O412" t="str">
            <v>73030.00</v>
          </cell>
          <cell r="P412" t="str">
            <v>0.00</v>
          </cell>
          <cell r="Q412" t="str">
            <v>676869.93</v>
          </cell>
          <cell r="R412">
            <v>1580</v>
          </cell>
          <cell r="S412" t="str">
            <v>71360.00</v>
          </cell>
          <cell r="T412" t="str">
            <v>66,311,994</v>
          </cell>
          <cell r="U412" t="str">
            <v>1237</v>
          </cell>
          <cell r="V412" t="str">
            <v>27022.00</v>
          </cell>
          <cell r="W412">
            <v>25110464</v>
          </cell>
          <cell r="X412" t="str">
            <v>13095282-8</v>
          </cell>
          <cell r="Y412" t="str">
            <v>26-11-2025</v>
          </cell>
          <cell r="Z412" t="str">
            <v>SI</v>
          </cell>
          <cell r="AA412" t="str">
            <v>SI</v>
          </cell>
          <cell r="AB412" t="str">
            <v>24-06-2026</v>
          </cell>
          <cell r="AC412" t="str">
            <v>Sin Aprobar</v>
          </cell>
        </row>
        <row r="413">
          <cell r="A413">
            <v>40</v>
          </cell>
          <cell r="B413" t="str">
            <v>17-11-2025</v>
          </cell>
          <cell r="C413" t="str">
            <v>18-11-2025</v>
          </cell>
          <cell r="D413" t="str">
            <v>MSC ANS</v>
          </cell>
          <cell r="E413" t="str">
            <v>MARITIMO</v>
          </cell>
          <cell r="F413" t="str">
            <v>ZEGOO</v>
          </cell>
          <cell r="G413" t="str">
            <v>ZHEJIANG OHENG IMPORT &amp; EXPORT CO., LTD.</v>
          </cell>
          <cell r="H413" t="str">
            <v>CEREZAS</v>
          </cell>
          <cell r="I413" t="str">
            <v>SANTINA / SWEET ARYANA /</v>
          </cell>
          <cell r="J413" t="str">
            <v>ALMAHUE EXPORT</v>
          </cell>
          <cell r="K413" t="str">
            <v>CONS-LIBRE</v>
          </cell>
          <cell r="L413" t="str">
            <v>FOB</v>
          </cell>
          <cell r="M413" t="str">
            <v>3520</v>
          </cell>
          <cell r="N413" t="str">
            <v>1030070.14</v>
          </cell>
          <cell r="O413" t="str">
            <v>73476.00</v>
          </cell>
          <cell r="P413" t="str">
            <v>0.00</v>
          </cell>
          <cell r="Q413" t="str">
            <v>749126.93</v>
          </cell>
          <cell r="R413">
            <v>1583</v>
          </cell>
          <cell r="S413" t="str">
            <v>70400.00</v>
          </cell>
          <cell r="T413" t="str">
            <v>65,419,904</v>
          </cell>
          <cell r="U413" t="str">
            <v>1238</v>
          </cell>
          <cell r="V413" t="str">
            <v>38485.00</v>
          </cell>
          <cell r="W413">
            <v>35762571</v>
          </cell>
          <cell r="X413" t="str">
            <v>13096602-0</v>
          </cell>
          <cell r="Y413" t="str">
            <v>25-11-2025</v>
          </cell>
          <cell r="Z413" t="str">
            <v>SI</v>
          </cell>
          <cell r="AA413" t="str">
            <v>SI</v>
          </cell>
          <cell r="AB413" t="str">
            <v>23-06-2026</v>
          </cell>
          <cell r="AC413" t="str">
            <v>Sin Aprobar</v>
          </cell>
        </row>
        <row r="414">
          <cell r="A414">
            <v>39</v>
          </cell>
          <cell r="B414" t="str">
            <v>15-11-2025</v>
          </cell>
          <cell r="C414" t="str">
            <v>19-11-2025</v>
          </cell>
          <cell r="D414" t="str">
            <v>MSC ANS</v>
          </cell>
          <cell r="E414" t="str">
            <v>MARITIMO</v>
          </cell>
          <cell r="F414" t="str">
            <v>PAGODA</v>
          </cell>
          <cell r="G414" t="str">
            <v>SHANGHAI HUI ZHAN INTERNATIONAL TRADE CO., LTD</v>
          </cell>
          <cell r="H414" t="str">
            <v>CEREZAS</v>
          </cell>
          <cell r="I414" t="str">
            <v>SANTINA /</v>
          </cell>
          <cell r="J414" t="str">
            <v>ALMAHUE EXPORT</v>
          </cell>
          <cell r="K414" t="str">
            <v>CONS-LIBRE</v>
          </cell>
          <cell r="L414" t="str">
            <v>FOB</v>
          </cell>
          <cell r="M414" t="str">
            <v>3520</v>
          </cell>
          <cell r="N414" t="str">
            <v>174042.18</v>
          </cell>
          <cell r="O414" t="str">
            <v>10371.60</v>
          </cell>
          <cell r="P414" t="str">
            <v>0.00</v>
          </cell>
          <cell r="Q414" t="str">
            <v>136061.28</v>
          </cell>
          <cell r="R414">
            <v>1582</v>
          </cell>
          <cell r="S414" t="str">
            <v>70400.00</v>
          </cell>
          <cell r="T414" t="str">
            <v>65,419,904</v>
          </cell>
          <cell r="U414" t="str">
            <v>1239</v>
          </cell>
          <cell r="V414" t="str">
            <v>65661.00</v>
          </cell>
          <cell r="W414">
            <v>61016141</v>
          </cell>
          <cell r="X414" t="str">
            <v>13093579-6</v>
          </cell>
          <cell r="Y414" t="str">
            <v>26-11-2025</v>
          </cell>
          <cell r="Z414" t="str">
            <v>SI</v>
          </cell>
          <cell r="AA414" t="str">
            <v>SI</v>
          </cell>
          <cell r="AB414" t="str">
            <v>24-06-2026</v>
          </cell>
          <cell r="AC414" t="str">
            <v>Sin Aprobar</v>
          </cell>
        </row>
        <row r="415">
          <cell r="A415">
            <v>38</v>
          </cell>
          <cell r="B415" t="str">
            <v>18-11-2025</v>
          </cell>
          <cell r="C415" t="str">
            <v>18-11-2025</v>
          </cell>
          <cell r="D415" t="str">
            <v>MSC ANS</v>
          </cell>
          <cell r="E415" t="str">
            <v>MARITIMO</v>
          </cell>
          <cell r="F415" t="str">
            <v>HING LEE</v>
          </cell>
          <cell r="G415" t="str">
            <v>SHENZHEN JINSHUN'AN INTERNATIONAL FREIGHT FORWARDING CO.,LTD</v>
          </cell>
          <cell r="H415" t="str">
            <v>CEREZAS</v>
          </cell>
          <cell r="I415" t="str">
            <v>ROYAL DAWN / SANTINA / SWEET ARYANA /</v>
          </cell>
          <cell r="J415" t="str">
            <v>ALMAHUE EXPORT</v>
          </cell>
          <cell r="K415" t="str">
            <v>CONS-LIBRE</v>
          </cell>
          <cell r="L415" t="str">
            <v>FOB</v>
          </cell>
          <cell r="M415" t="str">
            <v>3518</v>
          </cell>
          <cell r="N415" t="str">
            <v>143088.03</v>
          </cell>
          <cell r="O415" t="str">
            <v>10413.00</v>
          </cell>
          <cell r="P415" t="str">
            <v>0.00</v>
          </cell>
          <cell r="Q415" t="str">
            <v>103802.75</v>
          </cell>
          <cell r="R415">
            <v>1579</v>
          </cell>
          <cell r="S415" t="str">
            <v>70360.00</v>
          </cell>
          <cell r="T415" t="str">
            <v>65,382,734</v>
          </cell>
          <cell r="U415" t="str">
            <v>1240</v>
          </cell>
          <cell r="V415" t="str">
            <v>33443.00</v>
          </cell>
          <cell r="W415">
            <v>31077242</v>
          </cell>
          <cell r="X415" t="str">
            <v>13096970-4</v>
          </cell>
          <cell r="Y415" t="str">
            <v>25-11-2025</v>
          </cell>
          <cell r="Z415" t="str">
            <v>SI</v>
          </cell>
          <cell r="AA415" t="str">
            <v>SI</v>
          </cell>
          <cell r="AB415" t="str">
            <v>23-06-2026</v>
          </cell>
          <cell r="AC415" t="str">
            <v>Sin Aprobar</v>
          </cell>
        </row>
        <row r="416">
          <cell r="A416">
            <v>37</v>
          </cell>
          <cell r="B416" t="str">
            <v>15-11-2025</v>
          </cell>
          <cell r="C416" t="str">
            <v>18-11-2025</v>
          </cell>
          <cell r="D416" t="str">
            <v>MSC ANS</v>
          </cell>
          <cell r="E416" t="str">
            <v>MARITIMO</v>
          </cell>
          <cell r="F416" t="str">
            <v>SUNHOLA</v>
          </cell>
          <cell r="G416" t="str">
            <v>HUBEI SHOUHENG SUPPLY CHAIN MANAGEMENT CO. , LTD</v>
          </cell>
          <cell r="H416" t="str">
            <v>CEREZAS</v>
          </cell>
          <cell r="I416" t="str">
            <v>SWEET ARYANA /</v>
          </cell>
          <cell r="J416" t="str">
            <v>ALMAHUE EXPORT</v>
          </cell>
          <cell r="K416" t="str">
            <v>CONS-LIBRE</v>
          </cell>
          <cell r="L416" t="str">
            <v>FOB</v>
          </cell>
          <cell r="M416" t="str">
            <v>3544</v>
          </cell>
          <cell r="N416" t="str">
            <v>974800.11</v>
          </cell>
          <cell r="O416" t="str">
            <v>73476.15</v>
          </cell>
          <cell r="P416" t="str">
            <v>0.00</v>
          </cell>
          <cell r="Q416" t="str">
            <v>728126.71</v>
          </cell>
          <cell r="R416">
            <v>1578</v>
          </cell>
          <cell r="S416" t="str">
            <v>70880.00</v>
          </cell>
          <cell r="T416" t="str">
            <v>65,865,949</v>
          </cell>
          <cell r="U416" t="str">
            <v>1241</v>
          </cell>
          <cell r="V416" t="str">
            <v>34952.00</v>
          </cell>
          <cell r="W416">
            <v>32479496</v>
          </cell>
          <cell r="X416" t="str">
            <v>13093585-0</v>
          </cell>
          <cell r="Y416" t="str">
            <v>25-11-2025</v>
          </cell>
          <cell r="Z416" t="str">
            <v>SI</v>
          </cell>
          <cell r="AA416" t="str">
            <v>SI</v>
          </cell>
          <cell r="AB416" t="str">
            <v>23-06-2026</v>
          </cell>
          <cell r="AC416" t="str">
            <v>Sin Aprobar</v>
          </cell>
        </row>
        <row r="417">
          <cell r="A417">
            <v>36</v>
          </cell>
          <cell r="B417" t="str">
            <v>17-11-2025</v>
          </cell>
          <cell r="C417" t="str">
            <v>18-11-2025</v>
          </cell>
          <cell r="D417" t="str">
            <v>MSC ANS</v>
          </cell>
          <cell r="E417" t="str">
            <v>MARITIMO</v>
          </cell>
          <cell r="F417" t="str">
            <v>KINGO</v>
          </cell>
          <cell r="G417" t="str">
            <v>SHENZHEN FANYA XIANSHIHUI CO.,LTD</v>
          </cell>
          <cell r="H417" t="str">
            <v>CEREZAS</v>
          </cell>
          <cell r="I417" t="str">
            <v>BROOKS / ROYAL DAWN / SANTINA / SWEET ARYANA /</v>
          </cell>
          <cell r="J417" t="str">
            <v>ALMAHUE EXPORT</v>
          </cell>
          <cell r="K417" t="str">
            <v>CONS-LIBRE</v>
          </cell>
          <cell r="L417" t="str">
            <v>FOB</v>
          </cell>
          <cell r="M417" t="str">
            <v>3552</v>
          </cell>
          <cell r="N417" t="str">
            <v>1214409.48</v>
          </cell>
          <cell r="O417" t="str">
            <v>72884.86</v>
          </cell>
          <cell r="P417" t="str">
            <v>0.00</v>
          </cell>
          <cell r="Q417" t="str">
            <v>922749.26</v>
          </cell>
          <cell r="R417">
            <v>1581</v>
          </cell>
          <cell r="S417" t="str">
            <v>71040.00</v>
          </cell>
          <cell r="T417" t="str">
            <v>66,014,630</v>
          </cell>
          <cell r="U417" t="str">
            <v>1242</v>
          </cell>
          <cell r="V417" t="str">
            <v>63081.00</v>
          </cell>
          <cell r="W417">
            <v>58618650</v>
          </cell>
          <cell r="X417" t="str">
            <v>13096604-7</v>
          </cell>
          <cell r="Y417" t="str">
            <v>26-11-2025</v>
          </cell>
          <cell r="Z417" t="str">
            <v>SI</v>
          </cell>
          <cell r="AA417" t="str">
            <v>SI</v>
          </cell>
          <cell r="AB417" t="str">
            <v>24-06-2026</v>
          </cell>
          <cell r="AC417" t="str">
            <v>Sin Aprobar</v>
          </cell>
        </row>
        <row r="418">
          <cell r="A418">
            <v>35</v>
          </cell>
          <cell r="B418" t="str">
            <v>14-11-2025</v>
          </cell>
          <cell r="C418" t="str">
            <v>19-11-2025</v>
          </cell>
          <cell r="D418" t="str">
            <v>MSC ANS</v>
          </cell>
          <cell r="E418" t="str">
            <v>MARITIMO</v>
          </cell>
          <cell r="F418" t="str">
            <v>HING LEE</v>
          </cell>
          <cell r="G418" t="str">
            <v>SHENZHEN JINSHUN'AN INTERNATIONAL FREIGHT FORWARDING CO.,LTD</v>
          </cell>
          <cell r="H418" t="str">
            <v>CEREZAS</v>
          </cell>
          <cell r="I418" t="str">
            <v>SANTINA /</v>
          </cell>
          <cell r="J418" t="str">
            <v>ALMAHUE EXPORT</v>
          </cell>
          <cell r="K418" t="str">
            <v>CONS-LIBRE</v>
          </cell>
          <cell r="L418" t="str">
            <v>FOB</v>
          </cell>
          <cell r="M418" t="str">
            <v>3520</v>
          </cell>
          <cell r="N418" t="str">
            <v>183614.82</v>
          </cell>
          <cell r="O418" t="str">
            <v>10198.00</v>
          </cell>
          <cell r="P418" t="str">
            <v>0.00</v>
          </cell>
          <cell r="Q418" t="str">
            <v>141362.93</v>
          </cell>
          <cell r="R418">
            <v>1577</v>
          </cell>
          <cell r="S418" t="str">
            <v>70400.00</v>
          </cell>
          <cell r="T418" t="str">
            <v>65,419,904</v>
          </cell>
          <cell r="U418" t="str">
            <v>1243</v>
          </cell>
          <cell r="V418" t="str">
            <v>70963.00</v>
          </cell>
          <cell r="W418">
            <v>65943077</v>
          </cell>
          <cell r="X418" t="str">
            <v>13092733-5</v>
          </cell>
          <cell r="Y418" t="str">
            <v>25-11-2025</v>
          </cell>
          <cell r="Z418" t="str">
            <v>SI</v>
          </cell>
          <cell r="AA418" t="str">
            <v>SI</v>
          </cell>
          <cell r="AB418" t="str">
            <v>23-06-2026</v>
          </cell>
          <cell r="AC418" t="str">
            <v>Sin Aprobar</v>
          </cell>
        </row>
        <row r="419">
          <cell r="A419">
            <v>34</v>
          </cell>
          <cell r="B419" t="str">
            <v>13-11-2025</v>
          </cell>
          <cell r="C419" t="str">
            <v>14-11-2025</v>
          </cell>
          <cell r="D419" t="str">
            <v>HMM BLESSING</v>
          </cell>
          <cell r="E419" t="str">
            <v>MARITIMO</v>
          </cell>
          <cell r="F419" t="str">
            <v>DORLUNG</v>
          </cell>
          <cell r="G419" t="str">
            <v>SHENZHEN WEI CHENG LI DE TRADE CO.,LTD</v>
          </cell>
          <cell r="H419" t="str">
            <v>CEREZAS</v>
          </cell>
          <cell r="I419" t="str">
            <v>SANTINA /</v>
          </cell>
          <cell r="J419" t="str">
            <v>ALMAHUE EXPORT</v>
          </cell>
          <cell r="K419" t="str">
            <v>CONS-LIBRE</v>
          </cell>
          <cell r="L419" t="str">
            <v>FOB</v>
          </cell>
          <cell r="M419" t="str">
            <v>4144</v>
          </cell>
          <cell r="N419" t="str">
            <v>237430.57</v>
          </cell>
          <cell r="O419" t="str">
            <v>10300.00</v>
          </cell>
          <cell r="P419" t="str">
            <v>0.00</v>
          </cell>
          <cell r="Q419" t="str">
            <v>190178.64</v>
          </cell>
          <cell r="R419">
            <v>1573</v>
          </cell>
          <cell r="S419" t="str">
            <v>71360.00</v>
          </cell>
          <cell r="T419" t="str">
            <v>66,052,957</v>
          </cell>
          <cell r="U419" t="str">
            <v>1244</v>
          </cell>
          <cell r="V419" t="str">
            <v>118819.00</v>
          </cell>
          <cell r="W419">
            <v>109982431</v>
          </cell>
          <cell r="X419" t="str">
            <v>13085876-7</v>
          </cell>
          <cell r="Y419" t="str">
            <v>20-11-2025</v>
          </cell>
          <cell r="Z419" t="str">
            <v>SI</v>
          </cell>
          <cell r="AA419" t="str">
            <v>SI</v>
          </cell>
          <cell r="AB419" t="str">
            <v>18-06-2026</v>
          </cell>
          <cell r="AC419" t="str">
            <v>Sin Aprobar</v>
          </cell>
        </row>
        <row r="420">
          <cell r="A420">
            <v>33</v>
          </cell>
          <cell r="B420" t="str">
            <v>13-11-2025</v>
          </cell>
          <cell r="C420" t="str">
            <v>14-11-2025</v>
          </cell>
          <cell r="D420" t="str">
            <v>HMM BLESSING</v>
          </cell>
          <cell r="E420" t="str">
            <v>MARITIMO</v>
          </cell>
          <cell r="F420" t="str">
            <v>YUERUN TRADING</v>
          </cell>
          <cell r="G420" t="str">
            <v>SHENZHEN FANYA XIANSHIHUI CO.,LTD</v>
          </cell>
          <cell r="H420" t="str">
            <v>CEREZAS</v>
          </cell>
          <cell r="I420" t="str">
            <v>SANTINA /</v>
          </cell>
          <cell r="J420" t="str">
            <v>ALMAHUE EXPORT</v>
          </cell>
          <cell r="K420" t="str">
            <v>CONS-LIBRE</v>
          </cell>
          <cell r="L420" t="str">
            <v>FOB</v>
          </cell>
          <cell r="M420" t="str">
            <v>3520</v>
          </cell>
          <cell r="N420" t="str">
            <v>1640320.00</v>
          </cell>
          <cell r="O420" t="str">
            <v>74786.75</v>
          </cell>
          <cell r="P420" t="str">
            <v>0.00</v>
          </cell>
          <cell r="Q420" t="str">
            <v>1314078.26</v>
          </cell>
          <cell r="R420">
            <v>1572</v>
          </cell>
          <cell r="S420" t="str">
            <v>70400.00</v>
          </cell>
          <cell r="T420" t="str">
            <v>65,164,352</v>
          </cell>
          <cell r="U420" t="str">
            <v>1245</v>
          </cell>
          <cell r="V420" t="str">
            <v>120600.00</v>
          </cell>
          <cell r="W420">
            <v>111630978</v>
          </cell>
          <cell r="X420" t="str">
            <v>13085856-2</v>
          </cell>
          <cell r="Y420" t="str">
            <v>20-11-2025</v>
          </cell>
          <cell r="Z420" t="str">
            <v>SI</v>
          </cell>
          <cell r="AA420" t="str">
            <v>SI</v>
          </cell>
          <cell r="AB420" t="str">
            <v>18-06-2026</v>
          </cell>
          <cell r="AC420" t="str">
            <v>Sin Aprobar</v>
          </cell>
        </row>
        <row r="421">
          <cell r="A421">
            <v>32</v>
          </cell>
          <cell r="B421" t="str">
            <v>13-11-2025</v>
          </cell>
          <cell r="C421" t="str">
            <v>14-11-2025</v>
          </cell>
          <cell r="D421" t="str">
            <v>HMM BLESSING</v>
          </cell>
          <cell r="E421" t="str">
            <v>MARITIMO</v>
          </cell>
          <cell r="F421" t="str">
            <v>FRUITJOY</v>
          </cell>
          <cell r="G421" t="str">
            <v>OPTIMIZE INTEGRATION GROUP INC</v>
          </cell>
          <cell r="H421" t="str">
            <v>CEREZAS</v>
          </cell>
          <cell r="I421" t="str">
            <v>BROOKS / ROYAL DAWN / SANTINA /</v>
          </cell>
          <cell r="J421" t="str">
            <v>ALMAHUE EXPORT</v>
          </cell>
          <cell r="K421" t="str">
            <v>CONS-LIBRE</v>
          </cell>
          <cell r="L421" t="str">
            <v>FOB</v>
          </cell>
          <cell r="M421" t="str">
            <v>3576</v>
          </cell>
          <cell r="N421" t="str">
            <v>148467.33</v>
          </cell>
          <cell r="O421" t="str">
            <v>10016.40</v>
          </cell>
          <cell r="P421" t="str">
            <v>0.00</v>
          </cell>
          <cell r="Q421" t="str">
            <v>110027.22</v>
          </cell>
          <cell r="R421">
            <v>1571</v>
          </cell>
          <cell r="S421" t="str">
            <v>71520.00</v>
          </cell>
          <cell r="T421" t="str">
            <v>66,201,058</v>
          </cell>
          <cell r="U421" t="str">
            <v>1246</v>
          </cell>
          <cell r="V421" t="str">
            <v>38507.00</v>
          </cell>
          <cell r="W421">
            <v>35643234</v>
          </cell>
          <cell r="X421" t="str">
            <v>13085859-7</v>
          </cell>
          <cell r="Y421" t="str">
            <v>20-11-2025</v>
          </cell>
          <cell r="Z421" t="str">
            <v>SI</v>
          </cell>
          <cell r="AA421" t="str">
            <v>SI</v>
          </cell>
          <cell r="AB421" t="str">
            <v>18-06-2026</v>
          </cell>
          <cell r="AC421" t="str">
            <v>Sin Aprobar</v>
          </cell>
        </row>
        <row r="422">
          <cell r="A422">
            <v>31</v>
          </cell>
          <cell r="B422" t="str">
            <v>13-11-2025</v>
          </cell>
          <cell r="C422" t="str">
            <v>14-11-2025</v>
          </cell>
          <cell r="D422" t="str">
            <v>HMM BLESSING</v>
          </cell>
          <cell r="E422" t="str">
            <v>MARITIMO</v>
          </cell>
          <cell r="F422" t="str">
            <v>SANGO</v>
          </cell>
          <cell r="G422" t="str">
            <v>ZHEJIANG OHENG IMPORT &amp; EXPORT CO.,LTD.</v>
          </cell>
          <cell r="H422" t="str">
            <v>CEREZAS</v>
          </cell>
          <cell r="I422" t="str">
            <v>SANTINA /</v>
          </cell>
          <cell r="J422" t="str">
            <v>ALMAHUE EXPORT</v>
          </cell>
          <cell r="K422" t="str">
            <v>CONS-LIBRE</v>
          </cell>
          <cell r="L422" t="str">
            <v>FOB</v>
          </cell>
          <cell r="M422" t="str">
            <v>3462</v>
          </cell>
          <cell r="N422" t="str">
            <v>1164014.70</v>
          </cell>
          <cell r="O422" t="str">
            <v>74557.99</v>
          </cell>
          <cell r="P422" t="str">
            <v>0.00</v>
          </cell>
          <cell r="Q422" t="str">
            <v>898501.06</v>
          </cell>
          <cell r="R422">
            <v>1576</v>
          </cell>
          <cell r="S422" t="str">
            <v>69240.00</v>
          </cell>
          <cell r="T422" t="str">
            <v>64,090,621</v>
          </cell>
          <cell r="U422" t="str">
            <v>1247</v>
          </cell>
          <cell r="V422" t="str">
            <v>61356.00</v>
          </cell>
          <cell r="W422">
            <v>56792954</v>
          </cell>
          <cell r="X422" t="str">
            <v>13085836-8</v>
          </cell>
          <cell r="Y422" t="str">
            <v>20-11-2025</v>
          </cell>
          <cell r="Z422" t="str">
            <v>SI</v>
          </cell>
          <cell r="AA422" t="str">
            <v>SI</v>
          </cell>
          <cell r="AB422" t="str">
            <v>18-06-2026</v>
          </cell>
          <cell r="AC422" t="str">
            <v>Sin Aprobar</v>
          </cell>
        </row>
        <row r="423">
          <cell r="A423">
            <v>30</v>
          </cell>
          <cell r="B423" t="str">
            <v>13-11-2025</v>
          </cell>
          <cell r="C423" t="str">
            <v>14-11-2025</v>
          </cell>
          <cell r="D423" t="str">
            <v>HMM BLESSING</v>
          </cell>
          <cell r="E423" t="str">
            <v>MARITIMO</v>
          </cell>
          <cell r="F423" t="str">
            <v>PAGODA</v>
          </cell>
          <cell r="G423" t="str">
            <v>SHANGHAI HUI ZHAN INTERNATIONAL TRADE CO., LTD</v>
          </cell>
          <cell r="H423" t="str">
            <v>CEREZAS</v>
          </cell>
          <cell r="I423" t="str">
            <v>SANTINA /</v>
          </cell>
          <cell r="J423" t="str">
            <v>ALMAHUE EXPORT</v>
          </cell>
          <cell r="K423" t="str">
            <v>CONS-LIBRE</v>
          </cell>
          <cell r="L423" t="str">
            <v>FOB</v>
          </cell>
          <cell r="M423" t="str">
            <v>3520</v>
          </cell>
          <cell r="N423" t="str">
            <v>228075.76</v>
          </cell>
          <cell r="O423" t="str">
            <v>10396.17</v>
          </cell>
          <cell r="P423" t="str">
            <v>0.00</v>
          </cell>
          <cell r="Q423" t="str">
            <v>182231.59</v>
          </cell>
          <cell r="R423">
            <v>1575</v>
          </cell>
          <cell r="S423" t="str">
            <v>70400.00</v>
          </cell>
          <cell r="T423" t="str">
            <v>65,164,352</v>
          </cell>
          <cell r="U423" t="str">
            <v>1248</v>
          </cell>
          <cell r="V423" t="str">
            <v>111832.00</v>
          </cell>
          <cell r="W423">
            <v>103515054</v>
          </cell>
          <cell r="X423" t="str">
            <v>13085878-3</v>
          </cell>
          <cell r="Y423" t="str">
            <v>20-11-2025</v>
          </cell>
          <cell r="Z423" t="str">
            <v>SI</v>
          </cell>
          <cell r="AA423" t="str">
            <v>SI</v>
          </cell>
          <cell r="AB423" t="str">
            <v>18-06-2026</v>
          </cell>
          <cell r="AC423" t="str">
            <v>Sin Aprobar</v>
          </cell>
        </row>
        <row r="424">
          <cell r="A424">
            <v>29</v>
          </cell>
          <cell r="B424" t="str">
            <v>13-11-2025</v>
          </cell>
          <cell r="C424" t="str">
            <v>14-11-2025</v>
          </cell>
          <cell r="D424" t="str">
            <v>HMM BLESSING</v>
          </cell>
          <cell r="E424" t="str">
            <v>MARITIMO</v>
          </cell>
          <cell r="F424" t="str">
            <v>KINGO</v>
          </cell>
          <cell r="G424" t="str">
            <v>SHENZHEN FANYA XIANSHIHUI CO.,LTD</v>
          </cell>
          <cell r="H424" t="str">
            <v>CEREZAS</v>
          </cell>
          <cell r="I424" t="str">
            <v>SANTINA /</v>
          </cell>
          <cell r="J424" t="str">
            <v>ALMAHUE EXPORT</v>
          </cell>
          <cell r="K424" t="str">
            <v>CONS-LIBRE</v>
          </cell>
          <cell r="L424" t="str">
            <v>FOB</v>
          </cell>
          <cell r="M424" t="str">
            <v>3520</v>
          </cell>
          <cell r="N424" t="str">
            <v>1680635.44</v>
          </cell>
          <cell r="O424" t="str">
            <v>73052.75</v>
          </cell>
          <cell r="P424" t="str">
            <v>0.00</v>
          </cell>
          <cell r="Q424" t="str">
            <v>1320448.97</v>
          </cell>
          <cell r="R424">
            <v>1574</v>
          </cell>
          <cell r="S424" t="str">
            <v>70400.00</v>
          </cell>
          <cell r="T424" t="str">
            <v>65,164,352</v>
          </cell>
          <cell r="U424" t="str">
            <v>1249</v>
          </cell>
          <cell r="V424" t="str">
            <v>121526.00</v>
          </cell>
          <cell r="W424">
            <v>112488111</v>
          </cell>
          <cell r="X424" t="str">
            <v>13085865-1</v>
          </cell>
          <cell r="Y424" t="str">
            <v>20-11-2025</v>
          </cell>
          <cell r="Z424" t="str">
            <v>SI</v>
          </cell>
          <cell r="AA424" t="str">
            <v>SI</v>
          </cell>
          <cell r="AB424" t="str">
            <v>18-06-2026</v>
          </cell>
          <cell r="AC424" t="str">
            <v>Sin Aprobar</v>
          </cell>
        </row>
        <row r="425">
          <cell r="A425">
            <v>28</v>
          </cell>
          <cell r="B425" t="str">
            <v>10-11-2025</v>
          </cell>
          <cell r="C425" t="str">
            <v>11-11-2025</v>
          </cell>
          <cell r="D425" t="str">
            <v>MSC LOME V</v>
          </cell>
          <cell r="E425" t="str">
            <v>MARITIMO</v>
          </cell>
          <cell r="F425" t="str">
            <v>YOGO</v>
          </cell>
          <cell r="G425" t="str">
            <v>LUSHANG INTERNATIONAL TRADE CO., LTD.</v>
          </cell>
          <cell r="H425" t="str">
            <v>CEREZAS</v>
          </cell>
          <cell r="I425" t="str">
            <v>SANTINA /</v>
          </cell>
          <cell r="J425" t="str">
            <v>ALMAHUE EXPORT</v>
          </cell>
          <cell r="K425" t="str">
            <v>CONS-LIBRE</v>
          </cell>
          <cell r="L425" t="str">
            <v>FOB</v>
          </cell>
          <cell r="M425" t="str">
            <v>5808</v>
          </cell>
          <cell r="N425" t="str">
            <v>232780.42</v>
          </cell>
          <cell r="O425" t="str">
            <v>14661.00</v>
          </cell>
          <cell r="P425" t="str">
            <v>0.00</v>
          </cell>
          <cell r="Q425" t="str">
            <v>177348.79</v>
          </cell>
          <cell r="R425">
            <v>1569</v>
          </cell>
          <cell r="S425" t="str">
            <v>73920.00</v>
          </cell>
          <cell r="T425" t="str">
            <v>69,547,632</v>
          </cell>
          <cell r="U425" t="str">
            <v>1226</v>
          </cell>
          <cell r="V425" t="str">
            <v>105757.00</v>
          </cell>
          <cell r="W425">
            <v>99501473</v>
          </cell>
          <cell r="X425" t="str">
            <v>13081019-5</v>
          </cell>
          <cell r="Y425" t="str">
            <v>19-11-2025</v>
          </cell>
          <cell r="Z425" t="str">
            <v>SI</v>
          </cell>
          <cell r="AA425" t="str">
            <v>SI</v>
          </cell>
          <cell r="AB425" t="str">
            <v>17-06-2026</v>
          </cell>
          <cell r="AC425" t="str">
            <v>Sin Aprobar</v>
          </cell>
        </row>
        <row r="426">
          <cell r="A426">
            <v>27</v>
          </cell>
          <cell r="B426" t="str">
            <v>10-11-2025</v>
          </cell>
          <cell r="C426" t="str">
            <v>11-11-2025</v>
          </cell>
          <cell r="D426" t="str">
            <v>MSC LOME V</v>
          </cell>
          <cell r="E426" t="str">
            <v>MARITIMO</v>
          </cell>
          <cell r="F426" t="str">
            <v>SANGO</v>
          </cell>
          <cell r="G426" t="str">
            <v>ZHEJIANG OHENG IMPORT &amp; EXPORT CO.,LTD.</v>
          </cell>
          <cell r="H426" t="str">
            <v>CEREZAS</v>
          </cell>
          <cell r="I426" t="str">
            <v>SANTINA /</v>
          </cell>
          <cell r="J426" t="str">
            <v>ALMAHUE EXPORT</v>
          </cell>
          <cell r="K426" t="str">
            <v>CONS-LIBRE</v>
          </cell>
          <cell r="L426" t="str">
            <v>FOB</v>
          </cell>
          <cell r="M426" t="str">
            <v>5808</v>
          </cell>
          <cell r="N426" t="str">
            <v>1679470.00</v>
          </cell>
          <cell r="O426" t="str">
            <v>104923.54</v>
          </cell>
          <cell r="P426" t="str">
            <v>0.00</v>
          </cell>
          <cell r="Q426" t="str">
            <v>1325563.64</v>
          </cell>
          <cell r="R426">
            <v>1568</v>
          </cell>
          <cell r="S426" t="str">
            <v>73920.00</v>
          </cell>
          <cell r="T426" t="str">
            <v>69,547,632</v>
          </cell>
          <cell r="U426" t="str">
            <v>1225</v>
          </cell>
          <cell r="V426" t="str">
            <v>115176.00</v>
          </cell>
          <cell r="W426">
            <v>108363340</v>
          </cell>
          <cell r="X426" t="str">
            <v>13081038-1</v>
          </cell>
          <cell r="Y426" t="str">
            <v>19-11-2025</v>
          </cell>
          <cell r="Z426" t="str">
            <v>SI</v>
          </cell>
          <cell r="AA426" t="str">
            <v>SI</v>
          </cell>
          <cell r="AB426" t="str">
            <v>17-06-2026</v>
          </cell>
          <cell r="AC426" t="str">
            <v>Sin Aprobar</v>
          </cell>
        </row>
        <row r="427">
          <cell r="A427">
            <v>26</v>
          </cell>
          <cell r="B427" t="str">
            <v>10-11-2025</v>
          </cell>
          <cell r="C427" t="str">
            <v>11-11-2025</v>
          </cell>
          <cell r="D427" t="str">
            <v>MSC LOME V</v>
          </cell>
          <cell r="E427" t="str">
            <v>MARITIMO</v>
          </cell>
          <cell r="F427" t="str">
            <v>HING LEE</v>
          </cell>
          <cell r="G427" t="str">
            <v>SHENZHEN JINSHUN'AN INTERNATIONAL FREIGHT FORWARDING CO.,LTD</v>
          </cell>
          <cell r="H427" t="str">
            <v>CEREZAS</v>
          </cell>
          <cell r="I427" t="str">
            <v>SANTINA /</v>
          </cell>
          <cell r="J427" t="str">
            <v>ALMAHUE EXPORT</v>
          </cell>
          <cell r="K427" t="str">
            <v>CONS-LIBRE</v>
          </cell>
          <cell r="L427" t="str">
            <v>FOB</v>
          </cell>
          <cell r="M427" t="str">
            <v>5487</v>
          </cell>
          <cell r="N427" t="str">
            <v>214342.80</v>
          </cell>
          <cell r="O427" t="str">
            <v>14659.00</v>
          </cell>
          <cell r="P427" t="str">
            <v>0.00</v>
          </cell>
          <cell r="Q427" t="str">
            <v>162286.23</v>
          </cell>
          <cell r="R427">
            <v>1562</v>
          </cell>
          <cell r="S427" t="str">
            <v>71320.00</v>
          </cell>
          <cell r="T427" t="str">
            <v>67,101,422</v>
          </cell>
          <cell r="U427" t="str">
            <v>1227</v>
          </cell>
          <cell r="V427" t="str">
            <v>90966.00</v>
          </cell>
          <cell r="W427">
            <v>85585361</v>
          </cell>
          <cell r="X427" t="str">
            <v>13081016-0</v>
          </cell>
          <cell r="Y427" t="str">
            <v>19-11-2025</v>
          </cell>
          <cell r="Z427" t="str">
            <v>SI</v>
          </cell>
          <cell r="AA427" t="str">
            <v>SI</v>
          </cell>
          <cell r="AB427" t="str">
            <v>17-06-2026</v>
          </cell>
          <cell r="AC427" t="str">
            <v>Sin Aprobar</v>
          </cell>
        </row>
        <row r="428">
          <cell r="A428">
            <v>25</v>
          </cell>
          <cell r="B428" t="str">
            <v>09-11-2025</v>
          </cell>
          <cell r="C428" t="str">
            <v>11-11-2025</v>
          </cell>
          <cell r="D428" t="str">
            <v>MSC LOME V</v>
          </cell>
          <cell r="E428" t="str">
            <v>MARITIMO</v>
          </cell>
          <cell r="F428" t="str">
            <v>DORLUNG</v>
          </cell>
          <cell r="G428" t="str">
            <v>SHENZHEN WEI CHENG LI DE TRADE CO.,LTD</v>
          </cell>
          <cell r="H428" t="str">
            <v>CEREZAS</v>
          </cell>
          <cell r="I428" t="str">
            <v>SANTINA /</v>
          </cell>
          <cell r="J428" t="str">
            <v>ALMAHUE EXPORT</v>
          </cell>
          <cell r="K428" t="str">
            <v>CONS-LIBRE</v>
          </cell>
          <cell r="L428" t="str">
            <v>FOB</v>
          </cell>
          <cell r="M428" t="str">
            <v>4768</v>
          </cell>
          <cell r="N428" t="str">
            <v>201076.16</v>
          </cell>
          <cell r="O428" t="str">
            <v>14500.00</v>
          </cell>
          <cell r="P428" t="str">
            <v>0.00</v>
          </cell>
          <cell r="Q428" t="str">
            <v>154252.17</v>
          </cell>
          <cell r="R428">
            <v>1561</v>
          </cell>
          <cell r="S428" t="str">
            <v>72320.00</v>
          </cell>
          <cell r="T428" t="str">
            <v>68,042,272</v>
          </cell>
          <cell r="U428" t="str">
            <v>1224</v>
          </cell>
          <cell r="V428" t="str">
            <v>81932.00</v>
          </cell>
          <cell r="W428">
            <v>77085722</v>
          </cell>
          <cell r="X428" t="str">
            <v>13080997-9</v>
          </cell>
          <cell r="Y428" t="str">
            <v>19-11-2025</v>
          </cell>
          <cell r="Z428" t="str">
            <v>SI</v>
          </cell>
          <cell r="AA428" t="str">
            <v>SI</v>
          </cell>
          <cell r="AB428" t="str">
            <v>17-06-2026</v>
          </cell>
          <cell r="AC428" t="str">
            <v>Sin Aprobar</v>
          </cell>
        </row>
        <row r="429">
          <cell r="A429">
            <v>24</v>
          </cell>
          <cell r="B429" t="str">
            <v>09-11-2025</v>
          </cell>
          <cell r="C429" t="str">
            <v>11-11-2025</v>
          </cell>
          <cell r="D429" t="str">
            <v>MSC LOME V</v>
          </cell>
          <cell r="E429" t="str">
            <v>MARITIMO</v>
          </cell>
          <cell r="F429" t="str">
            <v>WUHAN CCMAX FRUITS CO., LTD</v>
          </cell>
          <cell r="G429" t="str">
            <v>SHANGHAI HUI ZHAN INTERNATIONAL TRADE CO., LTD</v>
          </cell>
          <cell r="H429" t="str">
            <v>CEREZAS</v>
          </cell>
          <cell r="I429" t="str">
            <v>SANTINA /</v>
          </cell>
          <cell r="J429" t="str">
            <v>ALMAHUE EXPORT</v>
          </cell>
          <cell r="K429" t="str">
            <v>CONS-LIBRE</v>
          </cell>
          <cell r="L429" t="str">
            <v>FOB</v>
          </cell>
          <cell r="M429" t="str">
            <v>5184</v>
          </cell>
          <cell r="N429" t="str">
            <v>215720.58</v>
          </cell>
          <cell r="O429" t="str">
            <v>14438.16</v>
          </cell>
          <cell r="P429" t="str">
            <v>0.00</v>
          </cell>
          <cell r="Q429" t="str">
            <v>165419.47</v>
          </cell>
          <cell r="R429">
            <v>1560</v>
          </cell>
          <cell r="S429" t="str">
            <v>72960.00</v>
          </cell>
          <cell r="T429" t="str">
            <v>68,644,416</v>
          </cell>
          <cell r="U429" t="str">
            <v>1223</v>
          </cell>
          <cell r="V429" t="str">
            <v>92933.00</v>
          </cell>
          <cell r="W429">
            <v>87436013</v>
          </cell>
          <cell r="X429" t="str">
            <v>13080963-4</v>
          </cell>
          <cell r="Y429" t="str">
            <v>19-11-2025</v>
          </cell>
          <cell r="Z429" t="str">
            <v>SI</v>
          </cell>
          <cell r="AA429" t="str">
            <v>SI</v>
          </cell>
          <cell r="AB429" t="str">
            <v>17-06-2026</v>
          </cell>
          <cell r="AC429" t="str">
            <v>Sin Aprobar</v>
          </cell>
        </row>
        <row r="430">
          <cell r="A430">
            <v>23</v>
          </cell>
          <cell r="B430" t="str">
            <v>12-11-2025</v>
          </cell>
          <cell r="C430" t="str">
            <v>14-11-2025</v>
          </cell>
          <cell r="D430" t="str">
            <v>HMM BLESSING</v>
          </cell>
          <cell r="E430" t="str">
            <v>MARITIMO</v>
          </cell>
          <cell r="F430" t="str">
            <v>HING LEE</v>
          </cell>
          <cell r="G430" t="str">
            <v>SHENZHEN JINSHUN'AN INTERNATIONAL FREIGHT FORWARDING CO.,LTD</v>
          </cell>
          <cell r="H430" t="str">
            <v>CEREZAS</v>
          </cell>
          <cell r="I430" t="str">
            <v>SANTINA /</v>
          </cell>
          <cell r="J430" t="str">
            <v>ALMAHUE EXPORT</v>
          </cell>
          <cell r="K430" t="str">
            <v>CONS-LIBRE</v>
          </cell>
          <cell r="L430" t="str">
            <v>FOB</v>
          </cell>
          <cell r="M430" t="str">
            <v>6432</v>
          </cell>
          <cell r="N430" t="str">
            <v>237533.86</v>
          </cell>
          <cell r="O430" t="str">
            <v>10413.00</v>
          </cell>
          <cell r="P430" t="str">
            <v>0.00</v>
          </cell>
          <cell r="Q430" t="str">
            <v>186587.83</v>
          </cell>
          <cell r="R430">
            <v>1570</v>
          </cell>
          <cell r="S430" t="str">
            <v>74880.00</v>
          </cell>
          <cell r="T430" t="str">
            <v>69,311,174</v>
          </cell>
          <cell r="U430" t="str">
            <v>1250</v>
          </cell>
          <cell r="V430" t="str">
            <v>111708.00</v>
          </cell>
          <cell r="W430">
            <v>103400276</v>
          </cell>
          <cell r="X430" t="str">
            <v>13085831-7</v>
          </cell>
          <cell r="Y430" t="str">
            <v>20-11-2025</v>
          </cell>
          <cell r="Z430" t="str">
            <v>SI</v>
          </cell>
          <cell r="AA430" t="str">
            <v>SI</v>
          </cell>
          <cell r="AB430" t="str">
            <v>18-06-2026</v>
          </cell>
          <cell r="AC430" t="str">
            <v>Sin Aprobar</v>
          </cell>
        </row>
        <row r="431">
          <cell r="A431">
            <v>22</v>
          </cell>
          <cell r="B431" t="str">
            <v>10-11-2025</v>
          </cell>
          <cell r="C431" t="str">
            <v>11-11-2025</v>
          </cell>
          <cell r="D431" t="str">
            <v>MSC LOME V</v>
          </cell>
          <cell r="E431" t="str">
            <v>MARITIMO</v>
          </cell>
          <cell r="F431" t="str">
            <v>HUASHENG</v>
          </cell>
          <cell r="G431" t="str">
            <v>CHUN WAN YI (GUANGZHOU) SUPPLY CHAIN MANAGEMENT CO., LTD</v>
          </cell>
          <cell r="H431" t="str">
            <v>CEREZAS</v>
          </cell>
          <cell r="I431" t="str">
            <v>BROOKS / SANTINA / SWEET ARYANA /</v>
          </cell>
          <cell r="J431" t="str">
            <v>ALMAHUE EXPORT</v>
          </cell>
          <cell r="K431" t="str">
            <v>CONS-LIBRE</v>
          </cell>
          <cell r="L431" t="str">
            <v>FOB</v>
          </cell>
          <cell r="M431" t="str">
            <v>3237</v>
          </cell>
          <cell r="N431" t="str">
            <v>152388.89</v>
          </cell>
          <cell r="O431" t="str">
            <v>14286.53</v>
          </cell>
          <cell r="P431" t="str">
            <v>0.00</v>
          </cell>
          <cell r="Q431" t="str">
            <v>110036.53</v>
          </cell>
          <cell r="R431">
            <v>1567</v>
          </cell>
          <cell r="S431" t="str">
            <v>64740.00</v>
          </cell>
          <cell r="T431" t="str">
            <v>60,910,629</v>
          </cell>
          <cell r="U431" t="str">
            <v>1228</v>
          </cell>
          <cell r="V431" t="str">
            <v>45297.00</v>
          </cell>
          <cell r="W431">
            <v>42617682</v>
          </cell>
          <cell r="X431" t="str">
            <v>13081022-5</v>
          </cell>
          <cell r="Y431" t="str">
            <v>19-11-2025</v>
          </cell>
          <cell r="Z431" t="str">
            <v>SI</v>
          </cell>
          <cell r="AA431" t="str">
            <v>SI</v>
          </cell>
          <cell r="AB431" t="str">
            <v>17-06-2026</v>
          </cell>
          <cell r="AC431" t="str">
            <v>Sin Aprobar</v>
          </cell>
        </row>
        <row r="432">
          <cell r="A432">
            <v>21</v>
          </cell>
          <cell r="B432" t="str">
            <v>10-11-2025</v>
          </cell>
          <cell r="C432" t="str">
            <v>11-11-2025</v>
          </cell>
          <cell r="D432" t="str">
            <v>MSC LOME V</v>
          </cell>
          <cell r="E432" t="str">
            <v>MARITIMO</v>
          </cell>
          <cell r="F432" t="str">
            <v>FRUITJOY</v>
          </cell>
          <cell r="G432" t="str">
            <v>SHANGHAI HUI ZHAN INTERNATIONAL TRADE CO., LTD</v>
          </cell>
          <cell r="H432" t="str">
            <v>CEREZAS</v>
          </cell>
          <cell r="I432" t="str">
            <v>BROOKS / ROYAL DAWN / SANTINA / SWEET ARYANA /</v>
          </cell>
          <cell r="J432" t="str">
            <v>ALMAHUE EXPORT</v>
          </cell>
          <cell r="K432" t="str">
            <v>CONS-LIBRE</v>
          </cell>
          <cell r="L432" t="str">
            <v>FOB</v>
          </cell>
          <cell r="M432" t="str">
            <v>3579</v>
          </cell>
          <cell r="N432" t="str">
            <v>113113.92</v>
          </cell>
          <cell r="O432" t="str">
            <v>14092.28</v>
          </cell>
          <cell r="P432" t="str">
            <v>0.00</v>
          </cell>
          <cell r="Q432" t="str">
            <v>76457.53</v>
          </cell>
          <cell r="R432">
            <v>1559</v>
          </cell>
          <cell r="S432" t="str">
            <v>71580.00</v>
          </cell>
          <cell r="T432" t="str">
            <v>67,346,043</v>
          </cell>
          <cell r="U432" t="str">
            <v>1222</v>
          </cell>
          <cell r="V432" t="str">
            <v>4877.00</v>
          </cell>
          <cell r="W432">
            <v>4588525</v>
          </cell>
          <cell r="X432" t="str">
            <v>13080961-8</v>
          </cell>
          <cell r="Y432" t="str">
            <v>19-11-2025</v>
          </cell>
          <cell r="Z432" t="str">
            <v>SI</v>
          </cell>
          <cell r="AA432" t="str">
            <v>SI</v>
          </cell>
          <cell r="AB432" t="str">
            <v>17-06-2026</v>
          </cell>
          <cell r="AC432" t="str">
            <v>Sin Aprobar</v>
          </cell>
        </row>
        <row r="433">
          <cell r="A433">
            <v>20</v>
          </cell>
          <cell r="B433" t="str">
            <v>09-11-2025</v>
          </cell>
          <cell r="C433" t="str">
            <v>11-11-2025</v>
          </cell>
          <cell r="D433" t="str">
            <v>MSC LOME V</v>
          </cell>
          <cell r="E433" t="str">
            <v>MARITIMO</v>
          </cell>
          <cell r="F433" t="str">
            <v>JINSHENG</v>
          </cell>
          <cell r="G433" t="str">
            <v>CHUN WAN YI (GUANGZHOU) SUPPLY CHAIN MANAGEMENT CO., LTD</v>
          </cell>
          <cell r="H433" t="str">
            <v>CEREZAS</v>
          </cell>
          <cell r="I433" t="str">
            <v>SANTINA /</v>
          </cell>
          <cell r="J433" t="str">
            <v>ALMAHUE EXPORT</v>
          </cell>
          <cell r="K433" t="str">
            <v>CONS-LIBRE</v>
          </cell>
          <cell r="L433" t="str">
            <v>FOB</v>
          </cell>
          <cell r="M433" t="str">
            <v>5392</v>
          </cell>
          <cell r="N433" t="str">
            <v>203867.49</v>
          </cell>
          <cell r="O433" t="str">
            <v>15065.00</v>
          </cell>
          <cell r="P433" t="str">
            <v>0.00</v>
          </cell>
          <cell r="Q433" t="str">
            <v>154762.44</v>
          </cell>
          <cell r="R433">
            <v>1566</v>
          </cell>
          <cell r="S433" t="str">
            <v>73280.00</v>
          </cell>
          <cell r="T433" t="str">
            <v>68,945,488</v>
          </cell>
          <cell r="U433" t="str">
            <v>1229</v>
          </cell>
          <cell r="V433" t="str">
            <v>81484.00</v>
          </cell>
          <cell r="W433">
            <v>76664221</v>
          </cell>
          <cell r="X433" t="str">
            <v>13080958-8</v>
          </cell>
          <cell r="Y433" t="str">
            <v>19-11-2025</v>
          </cell>
          <cell r="Z433" t="str">
            <v>SI</v>
          </cell>
          <cell r="AA433" t="str">
            <v>SI</v>
          </cell>
          <cell r="AB433" t="str">
            <v>17-06-2026</v>
          </cell>
          <cell r="AC433" t="str">
            <v>Sin Aprobar</v>
          </cell>
        </row>
        <row r="434">
          <cell r="A434">
            <v>19</v>
          </cell>
          <cell r="B434" t="str">
            <v>09-11-2025</v>
          </cell>
          <cell r="C434" t="str">
            <v>11-11-2025</v>
          </cell>
          <cell r="D434" t="str">
            <v>MSC LOME V</v>
          </cell>
          <cell r="E434" t="str">
            <v>MARITIMO</v>
          </cell>
          <cell r="F434" t="str">
            <v>SUNHOLA</v>
          </cell>
          <cell r="G434" t="str">
            <v>HUBEI SHOUHENG SUPPLY CHAIN MANAGEMENT CO. , LTD</v>
          </cell>
          <cell r="H434" t="str">
            <v>CEREZAS</v>
          </cell>
          <cell r="I434" t="str">
            <v>SANTINA /</v>
          </cell>
          <cell r="J434" t="str">
            <v>ALMAHUE EXPORT</v>
          </cell>
          <cell r="K434" t="str">
            <v>CONS-LIBRE</v>
          </cell>
          <cell r="L434" t="str">
            <v>FOB</v>
          </cell>
          <cell r="M434" t="str">
            <v>5392</v>
          </cell>
          <cell r="N434" t="str">
            <v>1477570.56</v>
          </cell>
          <cell r="O434" t="str">
            <v>104924.00</v>
          </cell>
          <cell r="P434" t="str">
            <v>0.00</v>
          </cell>
          <cell r="Q434" t="str">
            <v>1103462.33</v>
          </cell>
          <cell r="R434">
            <v>1558</v>
          </cell>
          <cell r="S434" t="str">
            <v>73280.00</v>
          </cell>
          <cell r="T434" t="str">
            <v>68,945,488</v>
          </cell>
          <cell r="U434" t="str">
            <v>1230</v>
          </cell>
          <cell r="V434" t="str">
            <v>124405.00</v>
          </cell>
          <cell r="W434">
            <v>117046444</v>
          </cell>
          <cell r="X434" t="str">
            <v>13081046-2</v>
          </cell>
          <cell r="Y434" t="str">
            <v>19-11-2025</v>
          </cell>
          <cell r="Z434" t="str">
            <v>SI</v>
          </cell>
          <cell r="AA434" t="str">
            <v>SI</v>
          </cell>
          <cell r="AB434" t="str">
            <v>17-06-2026</v>
          </cell>
          <cell r="AC434" t="str">
            <v>Sin Aprobar</v>
          </cell>
        </row>
        <row r="435">
          <cell r="A435">
            <v>18</v>
          </cell>
          <cell r="B435" t="str">
            <v>08-11-2025</v>
          </cell>
          <cell r="C435" t="str">
            <v>11-11-2025</v>
          </cell>
          <cell r="D435" t="str">
            <v>MSC LOME V</v>
          </cell>
          <cell r="E435" t="str">
            <v>MARITIMO</v>
          </cell>
          <cell r="F435" t="str">
            <v>CHEN SUN</v>
          </cell>
          <cell r="G435" t="str">
            <v>LUSHANG INTERNATIONAL TRADE CO., LTD.</v>
          </cell>
          <cell r="H435" t="str">
            <v>CEREZAS</v>
          </cell>
          <cell r="I435" t="str">
            <v>SANTINA /</v>
          </cell>
          <cell r="J435" t="str">
            <v>ALMAHUE EXPORT</v>
          </cell>
          <cell r="K435" t="str">
            <v>CONS-LIBRE</v>
          </cell>
          <cell r="L435" t="str">
            <v>FOB</v>
          </cell>
          <cell r="M435" t="str">
            <v>5808</v>
          </cell>
          <cell r="N435" t="str">
            <v>1527039.92</v>
          </cell>
          <cell r="O435" t="str">
            <v>103097.00</v>
          </cell>
          <cell r="P435" t="str">
            <v>0.00</v>
          </cell>
          <cell r="Q435" t="str">
            <v>1144292.13</v>
          </cell>
          <cell r="R435">
            <v>1557</v>
          </cell>
          <cell r="S435" t="str">
            <v>73920.00</v>
          </cell>
          <cell r="T435" t="str">
            <v>69,547,632</v>
          </cell>
          <cell r="U435" t="str">
            <v>1231</v>
          </cell>
          <cell r="V435" t="str">
            <v>131153.00</v>
          </cell>
          <cell r="W435">
            <v>123395300</v>
          </cell>
          <cell r="X435" t="str">
            <v>13080942-1</v>
          </cell>
          <cell r="Y435" t="str">
            <v>19-11-2025</v>
          </cell>
          <cell r="Z435" t="str">
            <v>SI</v>
          </cell>
          <cell r="AA435" t="str">
            <v>SI</v>
          </cell>
          <cell r="AB435" t="str">
            <v>17-06-2026</v>
          </cell>
          <cell r="AC435" t="str">
            <v>Sin Aprobar</v>
          </cell>
        </row>
        <row r="436">
          <cell r="A436">
            <v>17</v>
          </cell>
          <cell r="B436" t="str">
            <v>08-11-2025</v>
          </cell>
          <cell r="C436" t="str">
            <v>11-11-2025</v>
          </cell>
          <cell r="D436" t="str">
            <v>MSC LOME V</v>
          </cell>
          <cell r="E436" t="str">
            <v>MARITIMO</v>
          </cell>
          <cell r="F436" t="str">
            <v>XINGWAN</v>
          </cell>
          <cell r="G436" t="str">
            <v>SHENZHEN OHENG IMPORT &amp; EXPORT CO.,LTD.</v>
          </cell>
          <cell r="H436" t="str">
            <v>CEREZAS</v>
          </cell>
          <cell r="I436" t="str">
            <v>SANTINA /</v>
          </cell>
          <cell r="J436" t="str">
            <v>ALMAHUE EXPORT</v>
          </cell>
          <cell r="K436" t="str">
            <v>CONS-LIBRE</v>
          </cell>
          <cell r="L436" t="str">
            <v>FOB</v>
          </cell>
          <cell r="M436" t="str">
            <v>5600</v>
          </cell>
          <cell r="N436" t="str">
            <v>1598060.00</v>
          </cell>
          <cell r="O436" t="str">
            <v>104924.00</v>
          </cell>
          <cell r="P436" t="str">
            <v>0.00</v>
          </cell>
          <cell r="Q436" t="str">
            <v>1218495.40</v>
          </cell>
          <cell r="R436">
            <v>1565</v>
          </cell>
          <cell r="S436" t="str">
            <v>73600.00</v>
          </cell>
          <cell r="T436" t="str">
            <v>69,246,560</v>
          </cell>
          <cell r="U436" t="str">
            <v>1221</v>
          </cell>
          <cell r="V436" t="str">
            <v>100222.00</v>
          </cell>
          <cell r="W436">
            <v>94293869</v>
          </cell>
          <cell r="X436" t="str">
            <v>13081027-6</v>
          </cell>
          <cell r="Y436" t="str">
            <v>19-11-2025</v>
          </cell>
          <cell r="Z436" t="str">
            <v>SI</v>
          </cell>
          <cell r="AA436" t="str">
            <v>SI</v>
          </cell>
          <cell r="AB436" t="str">
            <v>17-06-2026</v>
          </cell>
          <cell r="AC436" t="str">
            <v>Sin Aprobar</v>
          </cell>
        </row>
        <row r="437">
          <cell r="A437">
            <v>16</v>
          </cell>
          <cell r="B437" t="str">
            <v>08-11-2025</v>
          </cell>
          <cell r="C437" t="str">
            <v>11-11-2025</v>
          </cell>
          <cell r="D437" t="str">
            <v>MSC LOME V</v>
          </cell>
          <cell r="E437" t="str">
            <v>MARITIMO</v>
          </cell>
          <cell r="F437" t="str">
            <v>YUERUN TRADING</v>
          </cell>
          <cell r="G437" t="str">
            <v>SHENZHEN FANYA XIANSHIHUI CO.,LTD</v>
          </cell>
          <cell r="H437" t="str">
            <v>CEREZAS</v>
          </cell>
          <cell r="I437" t="str">
            <v>SANTINA /</v>
          </cell>
          <cell r="J437" t="str">
            <v>ALMAHUE EXPORT</v>
          </cell>
          <cell r="K437" t="str">
            <v>CONS-LIBRE</v>
          </cell>
          <cell r="L437" t="str">
            <v>FOB</v>
          </cell>
          <cell r="M437" t="str">
            <v>5392</v>
          </cell>
          <cell r="N437" t="str">
            <v>1698195.00</v>
          </cell>
          <cell r="O437" t="str">
            <v>103573.88</v>
          </cell>
          <cell r="P437" t="str">
            <v>0.00</v>
          </cell>
          <cell r="Q437" t="str">
            <v>1361124.06</v>
          </cell>
          <cell r="R437">
            <v>1556</v>
          </cell>
          <cell r="S437" t="str">
            <v>73280.00</v>
          </cell>
          <cell r="T437" t="str">
            <v>68,945,488</v>
          </cell>
          <cell r="U437" t="str">
            <v>1232</v>
          </cell>
          <cell r="V437" t="str">
            <v>156373.00</v>
          </cell>
          <cell r="W437">
            <v>147123537</v>
          </cell>
          <cell r="X437" t="str">
            <v>13081025-K</v>
          </cell>
          <cell r="Y437" t="str">
            <v>21-11-2025</v>
          </cell>
          <cell r="Z437" t="str">
            <v>SI</v>
          </cell>
          <cell r="AA437" t="str">
            <v>SI</v>
          </cell>
          <cell r="AB437" t="str">
            <v>19-06-2026</v>
          </cell>
          <cell r="AC437" t="str">
            <v>Sin Aprobar</v>
          </cell>
        </row>
        <row r="438">
          <cell r="A438">
            <v>15</v>
          </cell>
          <cell r="B438" t="str">
            <v>08-11-2025</v>
          </cell>
          <cell r="C438" t="str">
            <v>11-11-2025</v>
          </cell>
          <cell r="D438" t="str">
            <v>MSC LOME V</v>
          </cell>
          <cell r="E438" t="str">
            <v>MARITIMO</v>
          </cell>
          <cell r="F438" t="str">
            <v>YOGO</v>
          </cell>
          <cell r="G438" t="str">
            <v>LUSHANG INTERNATIONAL TRADE CO., LTD.</v>
          </cell>
          <cell r="H438" t="str">
            <v>CEREZAS</v>
          </cell>
          <cell r="I438" t="str">
            <v>SANTINA /</v>
          </cell>
          <cell r="J438" t="str">
            <v>ALMAHUE EXPORT</v>
          </cell>
          <cell r="K438" t="str">
            <v>CONS-LIBRE</v>
          </cell>
          <cell r="L438" t="str">
            <v>FOB</v>
          </cell>
          <cell r="M438" t="str">
            <v>5184</v>
          </cell>
          <cell r="N438" t="str">
            <v>228618.18</v>
          </cell>
          <cell r="O438" t="str">
            <v>14660.63</v>
          </cell>
          <cell r="P438" t="str">
            <v>0.00</v>
          </cell>
          <cell r="Q438" t="str">
            <v>173837.88</v>
          </cell>
          <cell r="R438">
            <v>1564</v>
          </cell>
          <cell r="S438" t="str">
            <v>72960.00</v>
          </cell>
          <cell r="T438" t="str">
            <v>68,644,416</v>
          </cell>
          <cell r="U438" t="str">
            <v>1233</v>
          </cell>
          <cell r="V438" t="str">
            <v>103164.00</v>
          </cell>
          <cell r="W438">
            <v>97061849</v>
          </cell>
          <cell r="X438" t="str">
            <v>13078797-5</v>
          </cell>
          <cell r="Y438" t="str">
            <v>19-11-2025</v>
          </cell>
          <cell r="Z438" t="str">
            <v>SI</v>
          </cell>
          <cell r="AA438" t="str">
            <v>SI</v>
          </cell>
          <cell r="AB438" t="str">
            <v>17-06-2026</v>
          </cell>
          <cell r="AC438" t="str">
            <v>Sin Aprobar</v>
          </cell>
        </row>
        <row r="439">
          <cell r="A439">
            <v>14</v>
          </cell>
          <cell r="B439" t="str">
            <v>07-11-2025</v>
          </cell>
          <cell r="C439" t="str">
            <v>11-11-2025</v>
          </cell>
          <cell r="D439" t="str">
            <v>MSC LOME V</v>
          </cell>
          <cell r="E439" t="str">
            <v>MARITIMO</v>
          </cell>
          <cell r="F439" t="str">
            <v>KINGO</v>
          </cell>
          <cell r="G439" t="str">
            <v>SHENZHEN FANYA XIANSHIHUI CO.,LTD</v>
          </cell>
          <cell r="H439" t="str">
            <v>CEREZAS</v>
          </cell>
          <cell r="I439" t="str">
            <v>SANTINA /</v>
          </cell>
          <cell r="J439" t="str">
            <v>ALMAHUE EXPORT</v>
          </cell>
          <cell r="K439" t="str">
            <v>CONS-LIBRE</v>
          </cell>
          <cell r="L439" t="str">
            <v>FOB</v>
          </cell>
          <cell r="M439" t="str">
            <v>4768</v>
          </cell>
          <cell r="N439" t="str">
            <v>1636550.40</v>
          </cell>
          <cell r="O439" t="str">
            <v>102841.25</v>
          </cell>
          <cell r="P439" t="str">
            <v>0.00</v>
          </cell>
          <cell r="Q439" t="str">
            <v>1257120.21</v>
          </cell>
          <cell r="R439">
            <v>1563</v>
          </cell>
          <cell r="S439" t="str">
            <v>72320.00</v>
          </cell>
          <cell r="T439" t="str">
            <v>68,042,272</v>
          </cell>
          <cell r="U439" t="str">
            <v>1220</v>
          </cell>
          <cell r="V439" t="str">
            <v>107013.00</v>
          </cell>
          <cell r="W439">
            <v>100683181</v>
          </cell>
          <cell r="X439" t="str">
            <v>13079178-6</v>
          </cell>
          <cell r="Y439" t="str">
            <v>21-11-2025</v>
          </cell>
          <cell r="Z439" t="str">
            <v>SI</v>
          </cell>
          <cell r="AA439" t="str">
            <v>SI</v>
          </cell>
          <cell r="AB439" t="str">
            <v>19-06-2026</v>
          </cell>
          <cell r="AC439" t="str">
            <v>Sin Aprobar</v>
          </cell>
        </row>
        <row r="440">
          <cell r="A440">
            <v>13</v>
          </cell>
          <cell r="B440" t="str">
            <v>07-11-2025</v>
          </cell>
          <cell r="C440" t="str">
            <v>11-11-2025</v>
          </cell>
          <cell r="D440" t="str">
            <v>MSC LOME V</v>
          </cell>
          <cell r="E440" t="str">
            <v>MARITIMO</v>
          </cell>
          <cell r="F440" t="str">
            <v>HING LEE</v>
          </cell>
          <cell r="G440" t="str">
            <v>SHENZHEN JINSHUN'AN INTERNATIONAL FREIGHT FORWARDING CO.,LTD</v>
          </cell>
          <cell r="H440" t="str">
            <v>CEREZAS</v>
          </cell>
          <cell r="I440" t="str">
            <v>ROYAL DAWN / SANTINA /</v>
          </cell>
          <cell r="J440" t="str">
            <v>ALMAHUE EXPORT</v>
          </cell>
          <cell r="K440" t="str">
            <v>CONS-LIBRE</v>
          </cell>
          <cell r="L440" t="str">
            <v>FOB</v>
          </cell>
          <cell r="M440" t="str">
            <v>3576</v>
          </cell>
          <cell r="N440" t="str">
            <v>146588.52</v>
          </cell>
          <cell r="O440" t="str">
            <v>14319.01</v>
          </cell>
          <cell r="P440" t="str">
            <v>0.00</v>
          </cell>
          <cell r="Q440" t="str">
            <v>105105.87</v>
          </cell>
          <cell r="R440">
            <v>1555</v>
          </cell>
          <cell r="S440" t="str">
            <v>71520.00</v>
          </cell>
          <cell r="T440" t="str">
            <v>67,289,592</v>
          </cell>
          <cell r="U440" t="str">
            <v>1219</v>
          </cell>
          <cell r="V440" t="str">
            <v>33585.00</v>
          </cell>
          <cell r="W440">
            <v>31598447</v>
          </cell>
          <cell r="X440" t="str">
            <v>13078774-6</v>
          </cell>
          <cell r="Y440" t="str">
            <v>19-11-2025</v>
          </cell>
          <cell r="Z440" t="str">
            <v>SI</v>
          </cell>
          <cell r="AA440" t="str">
            <v>SI</v>
          </cell>
          <cell r="AB440" t="str">
            <v>17-06-2026</v>
          </cell>
          <cell r="AC440" t="str">
            <v>Sin Aprobar</v>
          </cell>
        </row>
        <row r="441">
          <cell r="A441">
            <v>12</v>
          </cell>
          <cell r="B441" t="str">
            <v>08-11-2025</v>
          </cell>
          <cell r="C441" t="str">
            <v>11-11-2025</v>
          </cell>
          <cell r="D441" t="str">
            <v>MSC LOME V</v>
          </cell>
          <cell r="E441" t="str">
            <v>MARITIMO</v>
          </cell>
          <cell r="F441" t="str">
            <v>DORLUNG</v>
          </cell>
          <cell r="G441" t="str">
            <v>SHENZHEN WEI CHENG LI DE TRADE CO.,LTD</v>
          </cell>
          <cell r="H441" t="str">
            <v>CEREZAS</v>
          </cell>
          <cell r="I441" t="str">
            <v>SANTINA /</v>
          </cell>
          <cell r="J441" t="str">
            <v>ALMAHUE EXPORT</v>
          </cell>
          <cell r="K441" t="str">
            <v>CONS-LIBRE</v>
          </cell>
          <cell r="L441" t="str">
            <v>FOB</v>
          </cell>
          <cell r="M441" t="str">
            <v>5184</v>
          </cell>
          <cell r="N441" t="str">
            <v>216776.46</v>
          </cell>
          <cell r="O441" t="str">
            <v>14510.30</v>
          </cell>
          <cell r="P441" t="str">
            <v>0.00</v>
          </cell>
          <cell r="Q441" t="str">
            <v>167506.61</v>
          </cell>
          <cell r="R441">
            <v>1554</v>
          </cell>
          <cell r="S441" t="str">
            <v>72960.00</v>
          </cell>
          <cell r="T441" t="str">
            <v>68,644,416</v>
          </cell>
          <cell r="U441" t="str">
            <v>1218</v>
          </cell>
          <cell r="V441" t="str">
            <v>94547.00</v>
          </cell>
          <cell r="W441">
            <v>88954545</v>
          </cell>
          <cell r="X441" t="str">
            <v>13080800-K</v>
          </cell>
          <cell r="Y441" t="str">
            <v>25-11-2025</v>
          </cell>
          <cell r="Z441" t="str">
            <v>SI</v>
          </cell>
          <cell r="AA441" t="str">
            <v>SI</v>
          </cell>
          <cell r="AB441" t="str">
            <v>23-06-2026</v>
          </cell>
          <cell r="AC441" t="str">
            <v>Sin Aprobar</v>
          </cell>
        </row>
        <row r="442">
          <cell r="A442">
            <v>11</v>
          </cell>
          <cell r="B442" t="str">
            <v>05-11-2025</v>
          </cell>
          <cell r="C442" t="str">
            <v>06-11-2025</v>
          </cell>
          <cell r="D442" t="str">
            <v>LATAM AIRLINES</v>
          </cell>
          <cell r="E442" t="str">
            <v>AEREO</v>
          </cell>
          <cell r="F442" t="str">
            <v>KINGO</v>
          </cell>
          <cell r="G442" t="str">
            <v>KINGO FRUITS CO., LTD.</v>
          </cell>
          <cell r="H442" t="str">
            <v>CEREZAS</v>
          </cell>
          <cell r="I442" t="str">
            <v>ROYAL DAWN /</v>
          </cell>
          <cell r="J442" t="str">
            <v>ALMAHUE EXPORT</v>
          </cell>
          <cell r="K442" t="str">
            <v>CONS-LIBRE</v>
          </cell>
          <cell r="L442" t="str">
            <v>CIF</v>
          </cell>
          <cell r="M442" t="str">
            <v>448</v>
          </cell>
          <cell r="N442" t="str">
            <v>24949.94</v>
          </cell>
          <cell r="O442" t="str">
            <v>14509.00</v>
          </cell>
          <cell r="P442" t="str">
            <v>0.00</v>
          </cell>
          <cell r="Q442" t="str">
            <v>3496.84</v>
          </cell>
          <cell r="R442">
            <v>1552</v>
          </cell>
          <cell r="S442" t="str">
            <v>22489.60</v>
          </cell>
          <cell r="T442" t="str">
            <v>21,255,596</v>
          </cell>
          <cell r="U442" t="str">
            <v>482</v>
          </cell>
          <cell r="V442" t="str">
            <v>-4394.00</v>
          </cell>
          <cell r="W442">
            <v>-4152901</v>
          </cell>
          <cell r="X442" t="str">
            <v>13073472-3</v>
          </cell>
          <cell r="Y442" t="str">
            <v>14-11-2025</v>
          </cell>
          <cell r="Z442" t="str">
            <v>SI</v>
          </cell>
          <cell r="AA442" t="str">
            <v>SI</v>
          </cell>
          <cell r="AB442" t="str">
            <v>12-06-2026</v>
          </cell>
          <cell r="AC442" t="str">
            <v>Sin Aprobar</v>
          </cell>
        </row>
        <row r="443">
          <cell r="A443">
            <v>10</v>
          </cell>
          <cell r="B443" t="str">
            <v>01-11-2025</v>
          </cell>
          <cell r="C443" t="str">
            <v>02-11-2025</v>
          </cell>
          <cell r="D443" t="str">
            <v>LATAM AIRLINES</v>
          </cell>
          <cell r="E443" t="str">
            <v>AEREO</v>
          </cell>
          <cell r="F443" t="str">
            <v>AARTSEN</v>
          </cell>
          <cell r="G443" t="str">
            <v>VK QUEEN FRUIT IMPORT &amp; EXPORT LIMITED PARTNERSHIP</v>
          </cell>
          <cell r="H443" t="str">
            <v>CEREZAS</v>
          </cell>
          <cell r="I443" t="str">
            <v>ROYAL DAWN /</v>
          </cell>
          <cell r="J443" t="str">
            <v>ALMAHUE EXPORT</v>
          </cell>
          <cell r="K443" t="str">
            <v>CONS-LIBRE</v>
          </cell>
          <cell r="L443" t="str">
            <v>CIF</v>
          </cell>
          <cell r="M443" t="str">
            <v>560</v>
          </cell>
          <cell r="N443" t="str">
            <v>42224.00</v>
          </cell>
          <cell r="O443" t="str">
            <v>14422.00</v>
          </cell>
          <cell r="P443" t="str">
            <v>0.00</v>
          </cell>
          <cell r="Q443" t="str">
            <v>27802.00</v>
          </cell>
          <cell r="R443">
            <v>1544</v>
          </cell>
          <cell r="S443" t="str">
            <v>28000.00</v>
          </cell>
          <cell r="T443" t="str">
            <v>26,423,320</v>
          </cell>
          <cell r="U443" t="str">
            <v>1207</v>
          </cell>
          <cell r="V443" t="str">
            <v>14336.00</v>
          </cell>
          <cell r="W443">
            <v>13528740</v>
          </cell>
          <cell r="X443" t="str">
            <v>13068535-8</v>
          </cell>
          <cell r="Y443" t="str">
            <v>19-11-2025</v>
          </cell>
          <cell r="Z443" t="str">
            <v>SI</v>
          </cell>
          <cell r="AA443" t="str">
            <v>SI</v>
          </cell>
          <cell r="AB443" t="str">
            <v>17-06-2026</v>
          </cell>
          <cell r="AC443" t="str">
            <v>Sin Aprobar</v>
          </cell>
        </row>
        <row r="444">
          <cell r="A444">
            <v>9</v>
          </cell>
          <cell r="B444" t="str">
            <v>31-10-2025</v>
          </cell>
          <cell r="C444" t="str">
            <v>01-11-2025</v>
          </cell>
          <cell r="D444" t="str">
            <v>LATAM AIRLINES</v>
          </cell>
          <cell r="E444" t="str">
            <v>AEREO</v>
          </cell>
          <cell r="F444" t="str">
            <v>KINGO</v>
          </cell>
          <cell r="G444" t="str">
            <v>KINGO FRUITS CO., LTD.</v>
          </cell>
          <cell r="H444" t="str">
            <v>CEREZAS</v>
          </cell>
          <cell r="I444" t="str">
            <v>ROYAL DAWN /</v>
          </cell>
          <cell r="J444" t="str">
            <v>ALMAHUE EXPORT</v>
          </cell>
          <cell r="K444" t="str">
            <v>CONS-LIBRE</v>
          </cell>
          <cell r="L444" t="str">
            <v>CIF</v>
          </cell>
          <cell r="M444" t="str">
            <v>560</v>
          </cell>
          <cell r="N444" t="str">
            <v>40509.84</v>
          </cell>
          <cell r="O444" t="str">
            <v>14396.40</v>
          </cell>
          <cell r="P444" t="str">
            <v>0.00</v>
          </cell>
          <cell r="Q444" t="str">
            <v>16621.87</v>
          </cell>
          <cell r="R444">
            <v>1545</v>
          </cell>
          <cell r="S444" t="str">
            <v>28000.00</v>
          </cell>
          <cell r="T444" t="str">
            <v>26,423,320</v>
          </cell>
          <cell r="U444" t="str">
            <v>1206</v>
          </cell>
          <cell r="V444" t="str">
            <v>3130.00</v>
          </cell>
          <cell r="W444">
            <v>2953750</v>
          </cell>
          <cell r="X444" t="str">
            <v>13068138-7</v>
          </cell>
          <cell r="Y444" t="str">
            <v>18-11-2025</v>
          </cell>
          <cell r="Z444" t="str">
            <v>SI</v>
          </cell>
          <cell r="AA444" t="str">
            <v>SI</v>
          </cell>
          <cell r="AB444" t="str">
            <v>16-06-2026</v>
          </cell>
          <cell r="AC444" t="str">
            <v>Sin Aprobar</v>
          </cell>
        </row>
        <row r="445">
          <cell r="A445">
            <v>8</v>
          </cell>
          <cell r="B445" t="str">
            <v>31-10-2025</v>
          </cell>
          <cell r="C445" t="str">
            <v>01-11-2025</v>
          </cell>
          <cell r="D445" t="str">
            <v>IBERIA AIRLINES</v>
          </cell>
          <cell r="E445" t="str">
            <v>AEREO</v>
          </cell>
          <cell r="F445" t="str">
            <v>FRU&amp;VER</v>
          </cell>
          <cell r="G445" t="str">
            <v>CIA FRU&amp;VER MADRID S.L.</v>
          </cell>
          <cell r="H445" t="str">
            <v>CEREZAS</v>
          </cell>
          <cell r="I445" t="str">
            <v>ROYAL DAWN /</v>
          </cell>
          <cell r="J445" t="str">
            <v>ALMAHUE EXPORT</v>
          </cell>
          <cell r="K445" t="str">
            <v>CONS-LIBRE</v>
          </cell>
          <cell r="L445" t="str">
            <v>CIF</v>
          </cell>
          <cell r="M445" t="str">
            <v>336</v>
          </cell>
          <cell r="N445" t="str">
            <v>26913.60</v>
          </cell>
          <cell r="O445" t="str">
            <v>6043.00</v>
          </cell>
          <cell r="P445" t="str">
            <v>0.00</v>
          </cell>
          <cell r="Q445" t="str">
            <v>17981.53</v>
          </cell>
          <cell r="R445">
            <v>1543</v>
          </cell>
          <cell r="S445" t="str">
            <v>16800.00</v>
          </cell>
          <cell r="T445" t="str">
            <v>15,853,992</v>
          </cell>
          <cell r="U445" t="str">
            <v>1205</v>
          </cell>
          <cell r="V445" t="str">
            <v>7292.00</v>
          </cell>
          <cell r="W445">
            <v>6881387</v>
          </cell>
          <cell r="X445" t="str">
            <v>13068137-9</v>
          </cell>
          <cell r="Y445" t="str">
            <v>13-11-2025</v>
          </cell>
          <cell r="Z445" t="str">
            <v>SI</v>
          </cell>
          <cell r="AA445" t="str">
            <v>SI</v>
          </cell>
          <cell r="AB445" t="str">
            <v>11-06-2026</v>
          </cell>
          <cell r="AC445" t="str">
            <v>Sin Aprobar</v>
          </cell>
        </row>
        <row r="446">
          <cell r="A446">
            <v>7</v>
          </cell>
          <cell r="B446" t="str">
            <v>08-11-2025</v>
          </cell>
          <cell r="C446" t="str">
            <v>11-11-2025</v>
          </cell>
          <cell r="D446" t="str">
            <v>MSC LOME V</v>
          </cell>
          <cell r="E446" t="str">
            <v>MARITIMO</v>
          </cell>
          <cell r="F446" t="str">
            <v>FRUITJOY</v>
          </cell>
          <cell r="G446" t="str">
            <v>SHANGHAI HUI ZHAN INTERNATIONAL TRADE CO., LTD</v>
          </cell>
          <cell r="H446" t="str">
            <v>CEREZAS</v>
          </cell>
          <cell r="I446" t="str">
            <v>SANTINA /</v>
          </cell>
          <cell r="J446" t="str">
            <v>ALMAHUE EXPORT</v>
          </cell>
          <cell r="K446" t="str">
            <v>CONS-LIBRE</v>
          </cell>
          <cell r="L446" t="str">
            <v>FOB</v>
          </cell>
          <cell r="M446" t="str">
            <v>3520</v>
          </cell>
          <cell r="N446" t="str">
            <v>199222.16</v>
          </cell>
          <cell r="O446" t="str">
            <v>14498.97</v>
          </cell>
          <cell r="P446" t="str">
            <v>0.00</v>
          </cell>
          <cell r="Q446" t="str">
            <v>149164.05</v>
          </cell>
          <cell r="R446">
            <v>1553</v>
          </cell>
          <cell r="S446" t="str">
            <v>70400.00</v>
          </cell>
          <cell r="T446" t="str">
            <v>66,235,840</v>
          </cell>
          <cell r="U446" t="str">
            <v>1217</v>
          </cell>
          <cell r="V446" t="str">
            <v>78764.00</v>
          </cell>
          <cell r="W446">
            <v>74105109</v>
          </cell>
          <cell r="X446" t="str">
            <v>13080923-5</v>
          </cell>
          <cell r="Y446" t="str">
            <v>19-11-2025</v>
          </cell>
          <cell r="Z446" t="str">
            <v>SI</v>
          </cell>
          <cell r="AA446" t="str">
            <v>SI</v>
          </cell>
          <cell r="AB446" t="str">
            <v>17-06-2026</v>
          </cell>
          <cell r="AC446" t="str">
            <v>Sin Aprobar</v>
          </cell>
        </row>
        <row r="447">
          <cell r="A447">
            <v>6</v>
          </cell>
          <cell r="B447" t="str">
            <v>03-11-2025</v>
          </cell>
          <cell r="C447" t="str">
            <v>05-11-2025</v>
          </cell>
          <cell r="D447" t="str">
            <v>EVER LAMBENT</v>
          </cell>
          <cell r="E447" t="str">
            <v>MARITIMO</v>
          </cell>
          <cell r="F447" t="str">
            <v>KINGO</v>
          </cell>
          <cell r="G447" t="str">
            <v>SHENZHEN FANYA XIANSHIHUI CO.,LTD</v>
          </cell>
          <cell r="H447" t="str">
            <v>CEREZAS</v>
          </cell>
          <cell r="I447" t="str">
            <v>ROYAL DAWN / SANTINA /</v>
          </cell>
          <cell r="J447" t="str">
            <v>ALMAHUE EXPORT</v>
          </cell>
          <cell r="K447" t="str">
            <v>CONS-LIBRE</v>
          </cell>
          <cell r="L447" t="str">
            <v>FOB</v>
          </cell>
          <cell r="M447" t="str">
            <v>2988</v>
          </cell>
          <cell r="N447" t="str">
            <v>968629.41</v>
          </cell>
          <cell r="O447" t="str">
            <v>30846.28</v>
          </cell>
          <cell r="P447" t="str">
            <v>0.00</v>
          </cell>
          <cell r="Q447" t="str">
            <v>763704.05</v>
          </cell>
          <cell r="R447">
            <v>1551</v>
          </cell>
          <cell r="S447" t="str">
            <v>59760.00</v>
          </cell>
          <cell r="T447" t="str">
            <v>56,480,969</v>
          </cell>
          <cell r="U447" t="str">
            <v>1211</v>
          </cell>
          <cell r="V447" t="str">
            <v>49216.00</v>
          </cell>
          <cell r="W447">
            <v>46515518</v>
          </cell>
          <cell r="X447" t="str">
            <v>13068954-K</v>
          </cell>
          <cell r="Y447" t="str">
            <v>11-11-2025</v>
          </cell>
          <cell r="Z447" t="str">
            <v>SI</v>
          </cell>
          <cell r="AA447" t="str">
            <v>SI</v>
          </cell>
          <cell r="AB447" t="str">
            <v>09-06-2026</v>
          </cell>
          <cell r="AC447" t="str">
            <v>Sin Aprobar</v>
          </cell>
        </row>
        <row r="448">
          <cell r="A448">
            <v>5</v>
          </cell>
          <cell r="B448" t="str">
            <v>02-11-2025</v>
          </cell>
          <cell r="C448" t="str">
            <v>05-11-2025</v>
          </cell>
          <cell r="D448" t="str">
            <v>EVER LAMBENT</v>
          </cell>
          <cell r="E448" t="str">
            <v>MARITIMO</v>
          </cell>
          <cell r="F448" t="str">
            <v>YOGO</v>
          </cell>
          <cell r="G448" t="str">
            <v>LUSHANG INTERNATIONAL TRADE CO., LTD.</v>
          </cell>
          <cell r="H448" t="str">
            <v>CEREZAS</v>
          </cell>
          <cell r="I448" t="str">
            <v>ROYAL DAWN /</v>
          </cell>
          <cell r="J448" t="str">
            <v>ALMAHUE EXPORT</v>
          </cell>
          <cell r="K448" t="str">
            <v>CONS-LIBRE</v>
          </cell>
          <cell r="L448" t="str">
            <v>FOB</v>
          </cell>
          <cell r="M448" t="str">
            <v>3536</v>
          </cell>
          <cell r="N448" t="str">
            <v>164034.79</v>
          </cell>
          <cell r="O448" t="str">
            <v>4399.04</v>
          </cell>
          <cell r="P448" t="str">
            <v>0.00</v>
          </cell>
          <cell r="Q448" t="str">
            <v>129803.94</v>
          </cell>
          <cell r="R448">
            <v>1550</v>
          </cell>
          <cell r="S448" t="str">
            <v>70720.00</v>
          </cell>
          <cell r="T448" t="str">
            <v>66,839,594</v>
          </cell>
          <cell r="U448" t="str">
            <v>1212</v>
          </cell>
          <cell r="V448" t="str">
            <v>60724.00</v>
          </cell>
          <cell r="W448">
            <v>57392074</v>
          </cell>
          <cell r="X448" t="str">
            <v>13068947-7</v>
          </cell>
          <cell r="Y448" t="str">
            <v>11-11-2025</v>
          </cell>
          <cell r="Z448" t="str">
            <v>SI</v>
          </cell>
          <cell r="AA448" t="str">
            <v>SI</v>
          </cell>
          <cell r="AB448" t="str">
            <v>09-06-2026</v>
          </cell>
          <cell r="AC448" t="str">
            <v>Sin Aprobar</v>
          </cell>
        </row>
        <row r="449">
          <cell r="A449">
            <v>4</v>
          </cell>
          <cell r="B449" t="str">
            <v>03-11-2025</v>
          </cell>
          <cell r="C449" t="str">
            <v>05-11-2025</v>
          </cell>
          <cell r="D449" t="str">
            <v>EVER LAMBENT</v>
          </cell>
          <cell r="E449" t="str">
            <v>MARITIMO</v>
          </cell>
          <cell r="F449" t="str">
            <v>HUASHENG</v>
          </cell>
          <cell r="G449" t="str">
            <v>CHUN WAN YI (GUANGZHOU) SUPPLY CHAIN MANAGEMENT CO., LTD</v>
          </cell>
          <cell r="H449" t="str">
            <v>CEREZAS</v>
          </cell>
          <cell r="I449" t="str">
            <v>SANTINA /</v>
          </cell>
          <cell r="J449" t="str">
            <v>ALMAHUE EXPORT</v>
          </cell>
          <cell r="K449" t="str">
            <v>CONS-LIBRE</v>
          </cell>
          <cell r="L449" t="str">
            <v>FOB</v>
          </cell>
          <cell r="M449" t="str">
            <v>5184</v>
          </cell>
          <cell r="N449" t="str">
            <v>239376.24</v>
          </cell>
          <cell r="O449" t="str">
            <v>4285.97</v>
          </cell>
          <cell r="P449" t="str">
            <v>0.00</v>
          </cell>
          <cell r="Q449" t="str">
            <v>193955.88</v>
          </cell>
          <cell r="R449">
            <v>1549</v>
          </cell>
          <cell r="S449" t="str">
            <v>72960.00</v>
          </cell>
          <cell r="T449" t="str">
            <v>68,956,685</v>
          </cell>
          <cell r="U449" t="str">
            <v>1213</v>
          </cell>
          <cell r="V449" t="str">
            <v>120995.00</v>
          </cell>
          <cell r="W449">
            <v>114356004</v>
          </cell>
          <cell r="X449" t="str">
            <v>13068955-8</v>
          </cell>
          <cell r="Y449" t="str">
            <v>11-11-2025</v>
          </cell>
          <cell r="Z449" t="str">
            <v>SI</v>
          </cell>
          <cell r="AA449" t="str">
            <v>SI</v>
          </cell>
          <cell r="AB449" t="str">
            <v>09-06-2026</v>
          </cell>
          <cell r="AC449" t="str">
            <v>Sin Aprobar</v>
          </cell>
        </row>
        <row r="450">
          <cell r="A450">
            <v>3</v>
          </cell>
          <cell r="B450" t="str">
            <v>03-11-2025</v>
          </cell>
          <cell r="C450" t="str">
            <v>05-11-2025</v>
          </cell>
          <cell r="D450" t="str">
            <v>EVER LAMBENT</v>
          </cell>
          <cell r="E450" t="str">
            <v>MARITIMO</v>
          </cell>
          <cell r="F450" t="str">
            <v>WUHAN CCMAX FRUITS CO., LTD</v>
          </cell>
          <cell r="G450" t="str">
            <v>SHANGHAI HUI ZHAN INTERNATIONAL TRADE CO., LTD</v>
          </cell>
          <cell r="H450" t="str">
            <v>CEREZAS</v>
          </cell>
          <cell r="I450" t="str">
            <v>ROYAL DAWN / SANTINA /</v>
          </cell>
          <cell r="J450" t="str">
            <v>ALMAHUE EXPORT</v>
          </cell>
          <cell r="K450" t="str">
            <v>CONS-LIBRE</v>
          </cell>
          <cell r="L450" t="str">
            <v>FOB</v>
          </cell>
          <cell r="M450" t="str">
            <v>2884</v>
          </cell>
          <cell r="N450" t="str">
            <v>158158.58</v>
          </cell>
          <cell r="O450" t="str">
            <v>4340.07</v>
          </cell>
          <cell r="P450" t="str">
            <v>0.00</v>
          </cell>
          <cell r="Q450" t="str">
            <v>126615.92</v>
          </cell>
          <cell r="R450">
            <v>1547</v>
          </cell>
          <cell r="S450" t="str">
            <v>57680.00</v>
          </cell>
          <cell r="T450" t="str">
            <v>54,515,098</v>
          </cell>
          <cell r="U450" t="str">
            <v>1214</v>
          </cell>
          <cell r="V450" t="str">
            <v>67111.00</v>
          </cell>
          <cell r="W450">
            <v>63428619</v>
          </cell>
          <cell r="X450" t="str">
            <v>13068957-4</v>
          </cell>
          <cell r="Y450" t="str">
            <v>13-11-2025</v>
          </cell>
          <cell r="Z450" t="str">
            <v>SI</v>
          </cell>
          <cell r="AA450" t="str">
            <v>SI</v>
          </cell>
          <cell r="AB450" t="str">
            <v>11-06-2026</v>
          </cell>
          <cell r="AC450" t="str">
            <v>Sin Aprobar</v>
          </cell>
        </row>
        <row r="451">
          <cell r="A451">
            <v>2</v>
          </cell>
          <cell r="B451" t="str">
            <v>03-11-2025</v>
          </cell>
          <cell r="C451" t="str">
            <v>05-11-2025</v>
          </cell>
          <cell r="D451" t="str">
            <v>EVER LAMBENT</v>
          </cell>
          <cell r="E451" t="str">
            <v>MARITIMO</v>
          </cell>
          <cell r="F451" t="str">
            <v>SANGO</v>
          </cell>
          <cell r="G451" t="str">
            <v>ZHEJIANG OHENG IMPORT &amp; EXPORT CO.,LTD.</v>
          </cell>
          <cell r="H451" t="str">
            <v>CEREZAS</v>
          </cell>
          <cell r="I451" t="str">
            <v>SANTINA /</v>
          </cell>
          <cell r="J451" t="str">
            <v>ALMAHUE EXPORT</v>
          </cell>
          <cell r="K451" t="str">
            <v>CONS-LIBRE</v>
          </cell>
          <cell r="L451" t="str">
            <v>FOB</v>
          </cell>
          <cell r="M451" t="str">
            <v>5058</v>
          </cell>
          <cell r="N451" t="str">
            <v>1655149.92</v>
          </cell>
          <cell r="O451" t="str">
            <v>31453.11</v>
          </cell>
          <cell r="P451" t="str">
            <v>0.00</v>
          </cell>
          <cell r="Q451" t="str">
            <v>1386390.33</v>
          </cell>
          <cell r="R451">
            <v>1548</v>
          </cell>
          <cell r="S451" t="str">
            <v>71700.00</v>
          </cell>
          <cell r="T451" t="str">
            <v>67,765,821</v>
          </cell>
          <cell r="U451" t="str">
            <v>1215</v>
          </cell>
          <cell r="V451" t="str">
            <v>126130.00</v>
          </cell>
          <cell r="W451">
            <v>119209247</v>
          </cell>
          <cell r="X451" t="str">
            <v>13068956-6</v>
          </cell>
          <cell r="Y451" t="str">
            <v>11-11-2025</v>
          </cell>
          <cell r="Z451" t="str">
            <v>SI</v>
          </cell>
          <cell r="AA451" t="str">
            <v>SI</v>
          </cell>
          <cell r="AB451" t="str">
            <v>09-06-2026</v>
          </cell>
          <cell r="AC451" t="str">
            <v>Sin Aprobar</v>
          </cell>
        </row>
        <row r="452">
          <cell r="A452">
            <v>1</v>
          </cell>
          <cell r="B452" t="str">
            <v>02-11-2025</v>
          </cell>
          <cell r="C452" t="str">
            <v>05-11-2025</v>
          </cell>
          <cell r="D452" t="str">
            <v>EVER LAMBENT</v>
          </cell>
          <cell r="E452" t="str">
            <v>MARITIMO</v>
          </cell>
          <cell r="F452" t="str">
            <v>HING LEE</v>
          </cell>
          <cell r="G452" t="str">
            <v>SHENZHEN JINSHUN'AN INTERNATIONAL FREIGHT FORWARDING CO.,LTD</v>
          </cell>
          <cell r="H452" t="str">
            <v>CEREZAS</v>
          </cell>
          <cell r="I452" t="str">
            <v>ROYAL DAWN / SANTINA /</v>
          </cell>
          <cell r="J452" t="str">
            <v>ALMAHUE EXPORT</v>
          </cell>
          <cell r="K452" t="str">
            <v>CONS-LIBRE</v>
          </cell>
          <cell r="L452" t="str">
            <v>FOB</v>
          </cell>
          <cell r="M452" t="str">
            <v>3520</v>
          </cell>
          <cell r="N452" t="str">
            <v>179317.74</v>
          </cell>
          <cell r="O452" t="str">
            <v>4951.00</v>
          </cell>
          <cell r="P452" t="str">
            <v>0.00</v>
          </cell>
          <cell r="Q452" t="str">
            <v>143494.71</v>
          </cell>
          <cell r="R452">
            <v>1546</v>
          </cell>
          <cell r="S452" t="str">
            <v>70400.00</v>
          </cell>
          <cell r="T452" t="str">
            <v>66,537,152</v>
          </cell>
          <cell r="U452" t="str">
            <v>1216</v>
          </cell>
          <cell r="V452" t="str">
            <v>73095.00</v>
          </cell>
          <cell r="W452">
            <v>69084277</v>
          </cell>
          <cell r="X452" t="str">
            <v>13068900-0</v>
          </cell>
          <cell r="Y452" t="str">
            <v>11-11-2025</v>
          </cell>
          <cell r="Z452" t="str">
            <v>SI</v>
          </cell>
          <cell r="AA452" t="str">
            <v>SI</v>
          </cell>
          <cell r="AB452" t="str">
            <v>09-06-2026</v>
          </cell>
          <cell r="AC452" t="str">
            <v>Sin Aprobar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ia Jesus Rodriguez" refreshedDate="46182.475501504632" createdVersion="8" refreshedVersion="8" minRefreshableVersion="3" recordCount="115" xr:uid="{E0CED642-96AF-4B51-95D2-AC29610A7B54}">
  <cacheSource type="worksheet">
    <worksheetSource ref="A1:Z116" sheet="COMPRA"/>
  </cacheSource>
  <cacheFields count="26">
    <cacheField name="Temporada" numFmtId="0">
      <sharedItems/>
    </cacheField>
    <cacheField name="id" numFmtId="0">
      <sharedItems containsSemiMixedTypes="0" containsString="0" containsNumber="1" containsInteger="1" minValue="20376" maxValue="20562"/>
    </cacheField>
    <cacheField name="numero_embarque" numFmtId="0">
      <sharedItems containsSemiMixedTypes="0" containsString="0" containsNumber="1" containsInteger="1" minValue="1" maxValue="449" count="434">
        <n v="444"/>
        <n v="446"/>
        <n v="445"/>
        <n v="448"/>
        <n v="449"/>
        <n v="8" u="1"/>
        <n v="9" u="1"/>
        <n v="10" u="1"/>
        <n v="1" u="1"/>
        <n v="5" u="1"/>
        <n v="4" u="1"/>
        <n v="2" u="1"/>
        <n v="3" u="1"/>
        <n v="6" u="1"/>
        <n v="11" u="1"/>
        <n v="13" u="1"/>
        <n v="14" u="1"/>
        <n v="15" u="1"/>
        <n v="12" u="1"/>
        <n v="7" u="1"/>
        <n v="16" u="1"/>
        <n v="17" u="1"/>
        <n v="18" u="1"/>
        <n v="19" u="1"/>
        <n v="20" u="1"/>
        <n v="24" u="1"/>
        <n v="25" u="1"/>
        <n v="21" u="1"/>
        <n v="27" u="1"/>
        <n v="22" u="1"/>
        <n v="26" u="1"/>
        <n v="28" u="1"/>
        <n v="23" u="1"/>
        <n v="30" u="1"/>
        <n v="32" u="1"/>
        <n v="33" u="1"/>
        <n v="29" u="1"/>
        <n v="34" u="1"/>
        <n v="31" u="1"/>
        <n v="35" u="1"/>
        <n v="39" u="1"/>
        <n v="37" u="1"/>
        <n v="43" u="1"/>
        <n v="41" u="1"/>
        <n v="42" u="1"/>
        <n v="40" u="1"/>
        <n v="36" u="1"/>
        <n v="44" u="1"/>
        <n v="38" u="1"/>
        <n v="45" u="1"/>
        <n v="46" u="1"/>
        <n v="47" u="1"/>
        <n v="48" u="1"/>
        <n v="50" u="1"/>
        <n v="49" u="1"/>
        <n v="54" u="1"/>
        <n v="51" u="1"/>
        <n v="57" u="1"/>
        <n v="60" u="1"/>
        <n v="61" u="1"/>
        <n v="52" u="1"/>
        <n v="58" u="1"/>
        <n v="56" u="1"/>
        <n v="53" u="1"/>
        <n v="55" u="1"/>
        <n v="67" u="1"/>
        <n v="65" u="1"/>
        <n v="73" u="1"/>
        <n v="75" u="1"/>
        <n v="85" u="1"/>
        <n v="69" u="1"/>
        <n v="59" u="1"/>
        <n v="62" u="1"/>
        <n v="63" u="1"/>
        <n v="64" u="1"/>
        <n v="66" u="1"/>
        <n v="81" u="1"/>
        <n v="70" u="1"/>
        <n v="71" u="1"/>
        <n v="78" u="1"/>
        <n v="68" u="1"/>
        <n v="74" u="1"/>
        <n v="76" u="1"/>
        <n v="77" u="1"/>
        <n v="80" u="1"/>
        <n v="82" u="1"/>
        <n v="72" u="1"/>
        <n v="95" u="1"/>
        <n v="96" u="1"/>
        <n v="109" u="1"/>
        <n v="99" u="1"/>
        <n v="83" u="1"/>
        <n v="84" u="1"/>
        <n v="79" u="1"/>
        <n v="86" u="1"/>
        <n v="87" u="1"/>
        <n v="88" u="1"/>
        <n v="89" u="1"/>
        <n v="98" u="1"/>
        <n v="101" u="1"/>
        <n v="103" u="1"/>
        <n v="107" u="1"/>
        <n v="115" u="1"/>
        <n v="90" u="1"/>
        <n v="91" u="1"/>
        <n v="92" u="1"/>
        <n v="93" u="1"/>
        <n v="97" u="1"/>
        <n v="102" u="1"/>
        <n v="104" u="1"/>
        <n v="105" u="1"/>
        <n v="106" u="1"/>
        <n v="110" u="1"/>
        <n v="112" u="1"/>
        <n v="114" u="1"/>
        <n v="100" u="1"/>
        <n v="108" u="1"/>
        <n v="111" u="1"/>
        <n v="113" u="1"/>
        <n v="94" u="1"/>
        <n v="116" u="1"/>
        <n v="117" u="1"/>
        <n v="118" u="1"/>
        <n v="122" u="1"/>
        <n v="123" u="1"/>
        <n v="120" u="1"/>
        <n v="119" u="1"/>
        <n v="130" u="1"/>
        <n v="127" u="1"/>
        <n v="128" u="1"/>
        <n v="124" u="1"/>
        <n v="125" u="1"/>
        <n v="126" u="1"/>
        <n v="129" u="1"/>
        <n v="131" u="1"/>
        <n v="132" u="1"/>
        <n v="133" u="1"/>
        <n v="134" u="1"/>
        <n v="135" u="1"/>
        <n v="136" u="1"/>
        <n v="137" u="1"/>
        <n v="138" u="1"/>
        <n v="139" u="1"/>
        <n v="140" u="1"/>
        <n v="141" u="1"/>
        <n v="142" u="1"/>
        <n v="147" u="1"/>
        <n v="121" u="1"/>
        <n v="143" u="1"/>
        <n v="149" u="1"/>
        <n v="144" u="1"/>
        <n v="145" u="1"/>
        <n v="146" u="1"/>
        <n v="148" u="1"/>
        <n v="150" u="1"/>
        <n v="151" u="1"/>
        <n v="153" u="1"/>
        <n v="154" u="1"/>
        <n v="156" u="1"/>
        <n v="157" u="1"/>
        <n v="158" u="1"/>
        <n v="159" u="1"/>
        <n v="161" u="1"/>
        <n v="162" u="1"/>
        <n v="163" u="1"/>
        <n v="164" u="1"/>
        <n v="165" u="1"/>
        <n v="166" u="1"/>
        <n v="167" u="1"/>
        <n v="168" u="1"/>
        <n v="170" u="1"/>
        <n v="171" u="1"/>
        <n v="172" u="1"/>
        <n v="173" u="1"/>
        <n v="174" u="1"/>
        <n v="175" u="1"/>
        <n v="176" u="1"/>
        <n v="177" u="1"/>
        <n v="178" u="1"/>
        <n v="179" u="1"/>
        <n v="180" u="1"/>
        <n v="169" u="1"/>
        <n v="155" u="1"/>
        <n v="152" u="1"/>
        <n v="181" u="1"/>
        <n v="182" u="1"/>
        <n v="184" u="1"/>
        <n v="185" u="1"/>
        <n v="186" u="1"/>
        <n v="187" u="1"/>
        <n v="183" u="1"/>
        <n v="190" u="1"/>
        <n v="191" u="1"/>
        <n v="192" u="1"/>
        <n v="193" u="1"/>
        <n v="194" u="1"/>
        <n v="195" u="1"/>
        <n v="197" u="1"/>
        <n v="198" u="1"/>
        <n v="199" u="1"/>
        <n v="200" u="1"/>
        <n v="202" u="1"/>
        <n v="203" u="1"/>
        <n v="205" u="1"/>
        <n v="206" u="1"/>
        <n v="201" u="1"/>
        <n v="208" u="1"/>
        <n v="204" u="1"/>
        <n v="207" u="1"/>
        <n v="209" u="1"/>
        <n v="210" u="1"/>
        <n v="196" u="1"/>
        <n v="189" u="1"/>
        <n v="242" u="1"/>
        <n v="211" u="1"/>
        <n v="212" u="1"/>
        <n v="213" u="1"/>
        <n v="214" u="1"/>
        <n v="217" u="1"/>
        <n v="218" u="1"/>
        <n v="220" u="1"/>
        <n v="222" u="1"/>
        <n v="231" u="1"/>
        <n v="233" u="1"/>
        <n v="234" u="1"/>
        <n v="160" u="1"/>
        <n v="238" u="1"/>
        <n v="188" u="1"/>
        <n v="216" u="1"/>
        <n v="230" u="1"/>
        <n v="237" u="1"/>
        <n v="228" u="1"/>
        <n v="229" u="1"/>
        <n v="219" u="1"/>
        <n v="223" u="1"/>
        <n v="224" u="1"/>
        <n v="227" u="1"/>
        <n v="232" u="1"/>
        <n v="225" u="1"/>
        <n v="226" u="1"/>
        <n v="241" u="1"/>
        <n v="240" u="1"/>
        <n v="239" u="1"/>
        <n v="215" u="1"/>
        <n v="221" u="1"/>
        <n v="235" u="1"/>
        <n v="244" u="1"/>
        <n v="247" u="1"/>
        <n v="246" u="1"/>
        <n v="243" u="1"/>
        <n v="263" u="1"/>
        <n v="254" u="1"/>
        <n v="262" u="1"/>
        <n v="264" u="1"/>
        <n v="253" u="1"/>
        <n v="250" u="1"/>
        <n v="248" u="1"/>
        <n v="251" u="1"/>
        <n v="261" u="1"/>
        <n v="252" u="1"/>
        <n v="245" u="1"/>
        <n v="249" u="1"/>
        <n v="260" u="1"/>
        <n v="268" u="1"/>
        <n v="256" u="1"/>
        <n v="257" u="1"/>
        <n v="258" u="1"/>
        <n v="259" u="1"/>
        <n v="269" u="1"/>
        <n v="266" u="1"/>
        <n v="267" u="1"/>
        <n v="236" u="1"/>
        <n v="270" u="1"/>
        <n v="271" u="1"/>
        <n v="272" u="1"/>
        <n v="273" u="1"/>
        <n v="274" u="1"/>
        <n v="277" u="1"/>
        <n v="278" u="1"/>
        <n v="280" u="1"/>
        <n v="279" u="1"/>
        <n v="285" u="1"/>
        <n v="286" u="1"/>
        <n v="287" u="1"/>
        <n v="288" u="1"/>
        <n v="283" u="1"/>
        <n v="284" u="1"/>
        <n v="255" u="1"/>
        <n v="265" u="1"/>
        <n v="289" u="1"/>
        <n v="290" u="1"/>
        <n v="291" u="1"/>
        <n v="292" u="1"/>
        <n v="293" u="1"/>
        <n v="294" u="1"/>
        <n v="300" u="1"/>
        <n v="301" u="1"/>
        <n v="302" u="1"/>
        <n v="303" u="1"/>
        <n v="275" u="1"/>
        <n v="282" u="1"/>
        <n v="295" u="1"/>
        <n v="298" u="1"/>
        <n v="299" u="1"/>
        <n v="304" u="1"/>
        <n v="305" u="1"/>
        <n v="306" u="1"/>
        <n v="307" u="1"/>
        <n v="308" u="1"/>
        <n v="309" u="1"/>
        <n v="310" u="1"/>
        <n v="311" u="1"/>
        <n v="313" u="1"/>
        <n v="314" u="1"/>
        <n v="281" u="1"/>
        <n v="276" u="1"/>
        <n v="297" u="1"/>
        <n v="296" u="1"/>
        <n v="328" u="1"/>
        <n v="329" u="1"/>
        <n v="330" u="1"/>
        <n v="327" u="1"/>
        <n v="315" u="1"/>
        <n v="317" u="1"/>
        <n v="318" u="1"/>
        <n v="319" u="1"/>
        <n v="320" u="1"/>
        <n v="321" u="1"/>
        <n v="322" u="1"/>
        <n v="323" u="1"/>
        <n v="331" u="1"/>
        <n v="324" u="1"/>
        <n v="325" u="1"/>
        <n v="326" u="1"/>
        <n v="332" u="1"/>
        <n v="333" u="1"/>
        <n v="334" u="1"/>
        <n v="335" u="1"/>
        <n v="336" u="1"/>
        <n v="316" u="1"/>
        <n v="337" u="1"/>
        <n v="340" u="1"/>
        <n v="341" u="1"/>
        <n v="342" u="1"/>
        <n v="344" u="1"/>
        <n v="343" u="1"/>
        <n v="312" u="1"/>
        <n v="338" u="1"/>
        <n v="339" u="1"/>
        <n v="345" u="1"/>
        <n v="347" u="1"/>
        <n v="349" u="1"/>
        <n v="350" u="1"/>
        <n v="351" u="1"/>
        <n v="352" u="1"/>
        <n v="353" u="1"/>
        <n v="354" u="1"/>
        <n v="355" u="1"/>
        <n v="357" u="1"/>
        <n v="358" u="1"/>
        <n v="356" u="1"/>
        <n v="359" u="1"/>
        <n v="360" u="1"/>
        <n v="361" u="1"/>
        <n v="362" u="1"/>
        <n v="363" u="1"/>
        <n v="364" u="1"/>
        <n v="368" u="1"/>
        <n v="371" u="1"/>
        <n v="372" u="1"/>
        <n v="375" u="1"/>
        <n v="376" u="1"/>
        <n v="366" u="1"/>
        <n v="367" u="1"/>
        <n v="369" u="1"/>
        <n v="392" u="1"/>
        <n v="365" u="1"/>
        <n v="370" u="1"/>
        <n v="373" u="1"/>
        <n v="378" u="1"/>
        <n v="379" u="1"/>
        <n v="374" u="1"/>
        <n v="377" u="1"/>
        <n v="384" u="1"/>
        <n v="383" u="1"/>
        <n v="381" u="1"/>
        <n v="382" u="1"/>
        <n v="403" u="1"/>
        <n v="404" u="1"/>
        <n v="405" u="1"/>
        <n v="406" u="1"/>
        <n v="393" u="1"/>
        <n v="385" u="1"/>
        <n v="394" u="1"/>
        <n v="395" u="1"/>
        <n v="386" u="1"/>
        <n v="388" u="1"/>
        <n v="396" u="1"/>
        <n v="397" u="1"/>
        <n v="398" u="1"/>
        <n v="402" u="1"/>
        <n v="399" u="1"/>
        <n v="400" u="1"/>
        <n v="408" u="1"/>
        <n v="409" u="1"/>
        <n v="410" u="1"/>
        <n v="387" u="1"/>
        <n v="346" u="1"/>
        <n v="348" u="1"/>
        <n v="411" u="1"/>
        <n v="412" u="1"/>
        <n v="415" u="1"/>
        <n v="416" u="1"/>
        <n v="407" u="1"/>
        <n v="417" u="1"/>
        <n v="418" u="1"/>
        <n v="419" u="1"/>
        <n v="401" u="1"/>
        <n v="422" u="1"/>
        <n v="420" u="1"/>
        <n v="421" u="1"/>
        <n v="423" u="1"/>
        <n v="426" u="1"/>
        <n v="428" u="1"/>
        <n v="432" u="1"/>
        <n v="431" u="1"/>
        <n v="430" u="1"/>
        <n v="429" u="1"/>
        <n v="434" u="1"/>
        <n v="424" u="1"/>
        <n v="425" u="1"/>
        <n v="380" u="1"/>
        <n v="391" u="1"/>
        <n v="447" u="1"/>
      </sharedItems>
    </cacheField>
    <cacheField name="fecha_despacho" numFmtId="14">
      <sharedItems containsSemiMixedTypes="0" containsNonDate="0" containsDate="1" containsString="0" minDate="2026-05-18T00:00:00" maxDate="2026-05-30T00:00:00"/>
    </cacheField>
    <cacheField name="exportadora" numFmtId="0">
      <sharedItems/>
    </cacheField>
    <cacheField name="Mes Despacho" numFmtId="0">
      <sharedItems containsSemiMixedTypes="0" containsString="0" containsNumber="1" containsInteger="1" minValue="5" maxValue="5"/>
    </cacheField>
    <cacheField name="Proveedor" numFmtId="0">
      <sharedItems/>
    </cacheField>
    <cacheField name="folio" numFmtId="0">
      <sharedItems/>
    </cacheField>
    <cacheField name="FOLIO 2" numFmtId="0">
      <sharedItems/>
    </cacheField>
    <cacheField name="fecha_guia" numFmtId="0">
      <sharedItems/>
    </cacheField>
    <cacheField name="codigo_productor" numFmtId="0">
      <sharedItems/>
    </cacheField>
    <cacheField name="productor" numFmtId="0">
      <sharedItems/>
    </cacheField>
    <cacheField name="razon_social_id" numFmtId="0">
      <sharedItems containsSemiMixedTypes="0" containsString="0" containsNumber="1" containsInteger="1" minValue="23" maxValue="23"/>
    </cacheField>
    <cacheField name="familia" numFmtId="0">
      <sharedItems/>
    </cacheField>
    <cacheField name="codigo_embalaje" numFmtId="0">
      <sharedItems/>
    </cacheField>
    <cacheField name="embalaje" numFmtId="0">
      <sharedItems/>
    </cacheField>
    <cacheField name="planta_nombre" numFmtId="0">
      <sharedItems/>
    </cacheField>
    <cacheField name="peso_std" numFmtId="0">
      <sharedItems containsSemiMixedTypes="0" containsString="0" containsNumber="1" containsInteger="1" minValue="15" maxValue="15"/>
    </cacheField>
    <cacheField name="cat" numFmtId="0">
      <sharedItems/>
    </cacheField>
    <cacheField name="nombre_cat" numFmtId="0">
      <sharedItems/>
    </cacheField>
    <cacheField name="tipo_cat" numFmtId="0">
      <sharedItems/>
    </cacheField>
    <cacheField name="serie" numFmtId="0">
      <sharedItems/>
    </cacheField>
    <cacheField name="cantidad" numFmtId="0">
      <sharedItems containsSemiMixedTypes="0" containsString="0" containsNumber="1" containsInteger="1" minValue="2" maxValue="80"/>
    </cacheField>
    <cacheField name="kilos" numFmtId="0">
      <sharedItems containsSemiMixedTypes="0" containsString="0" containsNumber="1" containsInteger="1" minValue="30" maxValue="1200"/>
    </cacheField>
    <cacheField name="mes_facturacion" numFmtId="0">
      <sharedItems/>
    </cacheField>
    <cacheField name="Numero_ Fact_ Compra" numFmtId="0">
      <sharedItems containsSemiMixedTypes="0" containsString="0" containsNumber="1" containsInteger="1" minValue="273" maxValue="352" count="16">
        <n v="352"/>
        <n v="273" u="1"/>
        <n v="307" u="1"/>
        <n v="318" u="1"/>
        <n v="319" u="1"/>
        <n v="322" u="1"/>
        <n v="329" u="1"/>
        <n v="327" u="1"/>
        <n v="331" u="1"/>
        <n v="330" u="1"/>
        <n v="328" u="1"/>
        <n v="334" u="1"/>
        <n v="335" u="1"/>
        <n v="337" u="1"/>
        <n v="336" u="1"/>
        <n v="346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ia Jesus Rodriguez" refreshedDate="46182.47565601852" createdVersion="8" refreshedVersion="8" minRefreshableVersion="3" recordCount="115" xr:uid="{BF061B1B-3872-4842-ADA2-A3D32AF7CB2D}">
  <cacheSource type="worksheet">
    <worksheetSource ref="A1:CD116" sheet="VENTA"/>
  </cacheSource>
  <cacheFields count="82">
    <cacheField name="Temporada" numFmtId="0">
      <sharedItems/>
    </cacheField>
    <cacheField name="id" numFmtId="0">
      <sharedItems containsSemiMixedTypes="0" containsString="0" containsNumber="1" containsInteger="1" minValue="20376" maxValue="20562"/>
    </cacheField>
    <cacheField name="numero_embarque" numFmtId="0">
      <sharedItems containsSemiMixedTypes="0" containsString="0" containsNumber="1" containsInteger="1" minValue="1" maxValue="449" count="434">
        <n v="444"/>
        <n v="446"/>
        <n v="445"/>
        <n v="448"/>
        <n v="449"/>
        <n v="8" u="1"/>
        <n v="9" u="1"/>
        <n v="10" u="1"/>
        <n v="1" u="1"/>
        <n v="5" u="1"/>
        <n v="4" u="1"/>
        <n v="2" u="1"/>
        <n v="3" u="1"/>
        <n v="6" u="1"/>
        <n v="11" u="1"/>
        <n v="13" u="1"/>
        <n v="14" u="1"/>
        <n v="15" u="1"/>
        <n v="12" u="1"/>
        <n v="7" u="1"/>
        <n v="16" u="1"/>
        <n v="17" u="1"/>
        <n v="18" u="1"/>
        <n v="19" u="1"/>
        <n v="20" u="1"/>
        <n v="24" u="1"/>
        <n v="25" u="1"/>
        <n v="21" u="1"/>
        <n v="27" u="1"/>
        <n v="22" u="1"/>
        <n v="26" u="1"/>
        <n v="28" u="1"/>
        <n v="23" u="1"/>
        <n v="30" u="1"/>
        <n v="32" u="1"/>
        <n v="33" u="1"/>
        <n v="29" u="1"/>
        <n v="34" u="1"/>
        <n v="31" u="1"/>
        <n v="35" u="1"/>
        <n v="39" u="1"/>
        <n v="37" u="1"/>
        <n v="43" u="1"/>
        <n v="41" u="1"/>
        <n v="42" u="1"/>
        <n v="40" u="1"/>
        <n v="36" u="1"/>
        <n v="44" u="1"/>
        <n v="38" u="1"/>
        <n v="45" u="1"/>
        <n v="46" u="1"/>
        <n v="47" u="1"/>
        <n v="48" u="1"/>
        <n v="50" u="1"/>
        <n v="49" u="1"/>
        <n v="54" u="1"/>
        <n v="51" u="1"/>
        <n v="57" u="1"/>
        <n v="60" u="1"/>
        <n v="61" u="1"/>
        <n v="52" u="1"/>
        <n v="58" u="1"/>
        <n v="56" u="1"/>
        <n v="53" u="1"/>
        <n v="55" u="1"/>
        <n v="67" u="1"/>
        <n v="65" u="1"/>
        <n v="73" u="1"/>
        <n v="75" u="1"/>
        <n v="85" u="1"/>
        <n v="69" u="1"/>
        <n v="59" u="1"/>
        <n v="62" u="1"/>
        <n v="63" u="1"/>
        <n v="64" u="1"/>
        <n v="66" u="1"/>
        <n v="81" u="1"/>
        <n v="70" u="1"/>
        <n v="71" u="1"/>
        <n v="78" u="1"/>
        <n v="68" u="1"/>
        <n v="74" u="1"/>
        <n v="76" u="1"/>
        <n v="77" u="1"/>
        <n v="80" u="1"/>
        <n v="82" u="1"/>
        <n v="72" u="1"/>
        <n v="95" u="1"/>
        <n v="96" u="1"/>
        <n v="109" u="1"/>
        <n v="99" u="1"/>
        <n v="83" u="1"/>
        <n v="84" u="1"/>
        <n v="79" u="1"/>
        <n v="86" u="1"/>
        <n v="87" u="1"/>
        <n v="88" u="1"/>
        <n v="89" u="1"/>
        <n v="98" u="1"/>
        <n v="101" u="1"/>
        <n v="103" u="1"/>
        <n v="107" u="1"/>
        <n v="115" u="1"/>
        <n v="90" u="1"/>
        <n v="91" u="1"/>
        <n v="92" u="1"/>
        <n v="93" u="1"/>
        <n v="97" u="1"/>
        <n v="102" u="1"/>
        <n v="104" u="1"/>
        <n v="105" u="1"/>
        <n v="106" u="1"/>
        <n v="110" u="1"/>
        <n v="112" u="1"/>
        <n v="114" u="1"/>
        <n v="100" u="1"/>
        <n v="108" u="1"/>
        <n v="111" u="1"/>
        <n v="113" u="1"/>
        <n v="94" u="1"/>
        <n v="116" u="1"/>
        <n v="117" u="1"/>
        <n v="118" u="1"/>
        <n v="122" u="1"/>
        <n v="123" u="1"/>
        <n v="120" u="1"/>
        <n v="119" u="1"/>
        <n v="130" u="1"/>
        <n v="127" u="1"/>
        <n v="128" u="1"/>
        <n v="124" u="1"/>
        <n v="125" u="1"/>
        <n v="126" u="1"/>
        <n v="129" u="1"/>
        <n v="131" u="1"/>
        <n v="132" u="1"/>
        <n v="133" u="1"/>
        <n v="134" u="1"/>
        <n v="135" u="1"/>
        <n v="136" u="1"/>
        <n v="137" u="1"/>
        <n v="138" u="1"/>
        <n v="139" u="1"/>
        <n v="140" u="1"/>
        <n v="141" u="1"/>
        <n v="142" u="1"/>
        <n v="147" u="1"/>
        <n v="121" u="1"/>
        <n v="143" u="1"/>
        <n v="149" u="1"/>
        <n v="144" u="1"/>
        <n v="145" u="1"/>
        <n v="146" u="1"/>
        <n v="148" u="1"/>
        <n v="150" u="1"/>
        <n v="151" u="1"/>
        <n v="153" u="1"/>
        <n v="154" u="1"/>
        <n v="156" u="1"/>
        <n v="157" u="1"/>
        <n v="158" u="1"/>
        <n v="159" u="1"/>
        <n v="161" u="1"/>
        <n v="162" u="1"/>
        <n v="163" u="1"/>
        <n v="164" u="1"/>
        <n v="165" u="1"/>
        <n v="166" u="1"/>
        <n v="167" u="1"/>
        <n v="168" u="1"/>
        <n v="170" u="1"/>
        <n v="171" u="1"/>
        <n v="172" u="1"/>
        <n v="173" u="1"/>
        <n v="174" u="1"/>
        <n v="175" u="1"/>
        <n v="176" u="1"/>
        <n v="177" u="1"/>
        <n v="178" u="1"/>
        <n v="179" u="1"/>
        <n v="180" u="1"/>
        <n v="169" u="1"/>
        <n v="155" u="1"/>
        <n v="152" u="1"/>
        <n v="181" u="1"/>
        <n v="182" u="1"/>
        <n v="184" u="1"/>
        <n v="185" u="1"/>
        <n v="186" u="1"/>
        <n v="187" u="1"/>
        <n v="183" u="1"/>
        <n v="190" u="1"/>
        <n v="191" u="1"/>
        <n v="192" u="1"/>
        <n v="193" u="1"/>
        <n v="194" u="1"/>
        <n v="195" u="1"/>
        <n v="197" u="1"/>
        <n v="198" u="1"/>
        <n v="199" u="1"/>
        <n v="200" u="1"/>
        <n v="202" u="1"/>
        <n v="203" u="1"/>
        <n v="205" u="1"/>
        <n v="206" u="1"/>
        <n v="201" u="1"/>
        <n v="208" u="1"/>
        <n v="204" u="1"/>
        <n v="207" u="1"/>
        <n v="209" u="1"/>
        <n v="210" u="1"/>
        <n v="196" u="1"/>
        <n v="189" u="1"/>
        <n v="242" u="1"/>
        <n v="211" u="1"/>
        <n v="212" u="1"/>
        <n v="213" u="1"/>
        <n v="214" u="1"/>
        <n v="217" u="1"/>
        <n v="218" u="1"/>
        <n v="220" u="1"/>
        <n v="222" u="1"/>
        <n v="231" u="1"/>
        <n v="233" u="1"/>
        <n v="234" u="1"/>
        <n v="160" u="1"/>
        <n v="238" u="1"/>
        <n v="188" u="1"/>
        <n v="216" u="1"/>
        <n v="230" u="1"/>
        <n v="237" u="1"/>
        <n v="228" u="1"/>
        <n v="229" u="1"/>
        <n v="219" u="1"/>
        <n v="223" u="1"/>
        <n v="224" u="1"/>
        <n v="227" u="1"/>
        <n v="232" u="1"/>
        <n v="225" u="1"/>
        <n v="226" u="1"/>
        <n v="241" u="1"/>
        <n v="240" u="1"/>
        <n v="239" u="1"/>
        <n v="215" u="1"/>
        <n v="221" u="1"/>
        <n v="235" u="1"/>
        <n v="244" u="1"/>
        <n v="247" u="1"/>
        <n v="246" u="1"/>
        <n v="243" u="1"/>
        <n v="263" u="1"/>
        <n v="254" u="1"/>
        <n v="262" u="1"/>
        <n v="264" u="1"/>
        <n v="253" u="1"/>
        <n v="250" u="1"/>
        <n v="248" u="1"/>
        <n v="251" u="1"/>
        <n v="261" u="1"/>
        <n v="252" u="1"/>
        <n v="245" u="1"/>
        <n v="249" u="1"/>
        <n v="260" u="1"/>
        <n v="268" u="1"/>
        <n v="256" u="1"/>
        <n v="257" u="1"/>
        <n v="258" u="1"/>
        <n v="259" u="1"/>
        <n v="269" u="1"/>
        <n v="266" u="1"/>
        <n v="267" u="1"/>
        <n v="236" u="1"/>
        <n v="270" u="1"/>
        <n v="271" u="1"/>
        <n v="272" u="1"/>
        <n v="273" u="1"/>
        <n v="274" u="1"/>
        <n v="277" u="1"/>
        <n v="278" u="1"/>
        <n v="280" u="1"/>
        <n v="279" u="1"/>
        <n v="285" u="1"/>
        <n v="286" u="1"/>
        <n v="287" u="1"/>
        <n v="288" u="1"/>
        <n v="283" u="1"/>
        <n v="284" u="1"/>
        <n v="255" u="1"/>
        <n v="265" u="1"/>
        <n v="289" u="1"/>
        <n v="290" u="1"/>
        <n v="291" u="1"/>
        <n v="292" u="1"/>
        <n v="293" u="1"/>
        <n v="294" u="1"/>
        <n v="300" u="1"/>
        <n v="301" u="1"/>
        <n v="302" u="1"/>
        <n v="303" u="1"/>
        <n v="275" u="1"/>
        <n v="282" u="1"/>
        <n v="295" u="1"/>
        <n v="298" u="1"/>
        <n v="299" u="1"/>
        <n v="304" u="1"/>
        <n v="305" u="1"/>
        <n v="306" u="1"/>
        <n v="307" u="1"/>
        <n v="308" u="1"/>
        <n v="309" u="1"/>
        <n v="310" u="1"/>
        <n v="311" u="1"/>
        <n v="313" u="1"/>
        <n v="314" u="1"/>
        <n v="281" u="1"/>
        <n v="276" u="1"/>
        <n v="297" u="1"/>
        <n v="296" u="1"/>
        <n v="328" u="1"/>
        <n v="329" u="1"/>
        <n v="330" u="1"/>
        <n v="327" u="1"/>
        <n v="315" u="1"/>
        <n v="317" u="1"/>
        <n v="318" u="1"/>
        <n v="319" u="1"/>
        <n v="320" u="1"/>
        <n v="321" u="1"/>
        <n v="322" u="1"/>
        <n v="323" u="1"/>
        <n v="331" u="1"/>
        <n v="324" u="1"/>
        <n v="325" u="1"/>
        <n v="326" u="1"/>
        <n v="332" u="1"/>
        <n v="333" u="1"/>
        <n v="334" u="1"/>
        <n v="335" u="1"/>
        <n v="336" u="1"/>
        <n v="316" u="1"/>
        <n v="337" u="1"/>
        <n v="340" u="1"/>
        <n v="341" u="1"/>
        <n v="342" u="1"/>
        <n v="344" u="1"/>
        <n v="343" u="1"/>
        <n v="312" u="1"/>
        <n v="338" u="1"/>
        <n v="339" u="1"/>
        <n v="345" u="1"/>
        <n v="347" u="1"/>
        <n v="349" u="1"/>
        <n v="350" u="1"/>
        <n v="351" u="1"/>
        <n v="352" u="1"/>
        <n v="353" u="1"/>
        <n v="354" u="1"/>
        <n v="355" u="1"/>
        <n v="357" u="1"/>
        <n v="358" u="1"/>
        <n v="356" u="1"/>
        <n v="359" u="1"/>
        <n v="360" u="1"/>
        <n v="361" u="1"/>
        <n v="362" u="1"/>
        <n v="363" u="1"/>
        <n v="364" u="1"/>
        <n v="368" u="1"/>
        <n v="371" u="1"/>
        <n v="372" u="1"/>
        <n v="375" u="1"/>
        <n v="376" u="1"/>
        <n v="366" u="1"/>
        <n v="367" u="1"/>
        <n v="369" u="1"/>
        <n v="392" u="1"/>
        <n v="365" u="1"/>
        <n v="370" u="1"/>
        <n v="373" u="1"/>
        <n v="378" u="1"/>
        <n v="379" u="1"/>
        <n v="374" u="1"/>
        <n v="377" u="1"/>
        <n v="384" u="1"/>
        <n v="383" u="1"/>
        <n v="381" u="1"/>
        <n v="382" u="1"/>
        <n v="403" u="1"/>
        <n v="404" u="1"/>
        <n v="405" u="1"/>
        <n v="406" u="1"/>
        <n v="393" u="1"/>
        <n v="385" u="1"/>
        <n v="394" u="1"/>
        <n v="395" u="1"/>
        <n v="386" u="1"/>
        <n v="388" u="1"/>
        <n v="396" u="1"/>
        <n v="397" u="1"/>
        <n v="398" u="1"/>
        <n v="402" u="1"/>
        <n v="399" u="1"/>
        <n v="400" u="1"/>
        <n v="408" u="1"/>
        <n v="409" u="1"/>
        <n v="410" u="1"/>
        <n v="387" u="1"/>
        <n v="346" u="1"/>
        <n v="348" u="1"/>
        <n v="411" u="1"/>
        <n v="412" u="1"/>
        <n v="415" u="1"/>
        <n v="416" u="1"/>
        <n v="407" u="1"/>
        <n v="417" u="1"/>
        <n v="418" u="1"/>
        <n v="419" u="1"/>
        <n v="401" u="1"/>
        <n v="422" u="1"/>
        <n v="420" u="1"/>
        <n v="421" u="1"/>
        <n v="423" u="1"/>
        <n v="426" u="1"/>
        <n v="428" u="1"/>
        <n v="432" u="1"/>
        <n v="431" u="1"/>
        <n v="430" u="1"/>
        <n v="429" u="1"/>
        <n v="434" u="1"/>
        <n v="424" u="1"/>
        <n v="425" u="1"/>
        <n v="380" u="1"/>
        <n v="391" u="1"/>
        <n v="447" u="1"/>
      </sharedItems>
    </cacheField>
    <cacheField name="fecha_despacho" numFmtId="14">
      <sharedItems containsSemiMixedTypes="0" containsNonDate="0" containsDate="1" containsString="0" minDate="2026-05-18T00:00:00" maxDate="2026-05-30T00:00:00" count="5">
        <d v="2026-05-18T00:00:00"/>
        <d v="2026-05-22T00:00:00"/>
        <d v="2026-05-25T00:00:00"/>
        <d v="2026-05-27T00:00:00"/>
        <d v="2026-05-29T00:00:00"/>
      </sharedItems>
    </cacheField>
    <cacheField name="Semana Despacho" numFmtId="0">
      <sharedItems containsSemiMixedTypes="0" containsString="0" containsNumber="1" containsInteger="1" minValue="21" maxValue="22"/>
    </cacheField>
    <cacheField name="Mes Despacho" numFmtId="0">
      <sharedItems containsSemiMixedTypes="0" containsString="0" containsNumber="1" containsInteger="1" minValue="5" maxValue="5"/>
    </cacheField>
    <cacheField name="fecha_arribo" numFmtId="14">
      <sharedItems containsSemiMixedTypes="0" containsNonDate="0" containsDate="1" containsString="0" minDate="2026-05-28T00:00:00" maxDate="2026-06-25T00:00:00"/>
    </cacheField>
    <cacheField name="tipo_despacho" numFmtId="0">
      <sharedItems/>
    </cacheField>
    <cacheField name="exportadora" numFmtId="0">
      <sharedItems/>
    </cacheField>
    <cacheField name="broker" numFmtId="0">
      <sharedItems/>
    </cacheField>
    <cacheField name="broker_id" numFmtId="0">
      <sharedItems containsSemiMixedTypes="0" containsString="0" containsNumber="1" containsInteger="1" minValue="11" maxValue="56"/>
    </cacheField>
    <cacheField name="destinatario" numFmtId="0">
      <sharedItems/>
    </cacheField>
    <cacheField name="destinatario_id" numFmtId="0">
      <sharedItems containsSemiMixedTypes="0" containsString="0" containsNumber="1" containsInteger="1" minValue="173" maxValue="347"/>
    </cacheField>
    <cacheField name="rut_chofer" numFmtId="0">
      <sharedItems/>
    </cacheField>
    <cacheField name="nombre_chofer" numFmtId="0">
      <sharedItems/>
    </cacheField>
    <cacheField name="patente_camion" numFmtId="0">
      <sharedItems/>
    </cacheField>
    <cacheField name="patente_carro" numFmtId="0">
      <sharedItems containsBlank="1"/>
    </cacheField>
    <cacheField name="sellos" numFmtId="0">
      <sharedItems/>
    </cacheField>
    <cacheField name="ubicacion_sellos" numFmtId="0">
      <sharedItems containsNonDate="0" containsString="0" containsBlank="1"/>
    </cacheField>
    <cacheField name="folio" numFmtId="0">
      <sharedItems/>
    </cacheField>
    <cacheField name="FOLIO 2" numFmtId="0">
      <sharedItems/>
    </cacheField>
    <cacheField name="codigo_productor" numFmtId="0">
      <sharedItems/>
    </cacheField>
    <cacheField name="familia" numFmtId="0">
      <sharedItems/>
    </cacheField>
    <cacheField name="codigo_embalaje" numFmtId="0">
      <sharedItems/>
    </cacheField>
    <cacheField name="embalaje" numFmtId="0">
      <sharedItems/>
    </cacheField>
    <cacheField name="peso_std" numFmtId="0">
      <sharedItems containsSemiMixedTypes="0" containsString="0" containsNumber="1" containsInteger="1" minValue="15" maxValue="15"/>
    </cacheField>
    <cacheField name="cat" numFmtId="0">
      <sharedItems/>
    </cacheField>
    <cacheField name="nombre_cat" numFmtId="0">
      <sharedItems/>
    </cacheField>
    <cacheField name="tipo_cat" numFmtId="0">
      <sharedItems/>
    </cacheField>
    <cacheField name="serie" numFmtId="0">
      <sharedItems/>
    </cacheField>
    <cacheField name="cantidad" numFmtId="0">
      <sharedItems containsSemiMixedTypes="0" containsString="0" containsNumber="1" containsInteger="1" minValue="2" maxValue="80"/>
    </cacheField>
    <cacheField name="kilos" numFmtId="0">
      <sharedItems containsSemiMixedTypes="0" containsString="0" containsNumber="1" containsInteger="1" minValue="30" maxValue="1200"/>
    </cacheField>
    <cacheField name="especie_id" numFmtId="0">
      <sharedItems containsSemiMixedTypes="0" containsString="0" containsNumber="1" containsInteger="1" minValue="10" maxValue="10"/>
    </cacheField>
    <cacheField name="numero_inspeccion" numFmtId="0">
      <sharedItems containsNonDate="0" containsString="0" containsBlank="1"/>
    </cacheField>
    <cacheField name="fecha_inspeccion" numFmtId="0">
      <sharedItems containsNonDate="0" containsString="0" containsBlank="1"/>
    </cacheField>
    <cacheField name="tipo_inspeccion" numFmtId="0">
      <sharedItems containsNonDate="0" containsString="0" containsBlank="1"/>
    </cacheField>
    <cacheField name="numero_documento" numFmtId="0">
      <sharedItems/>
    </cacheField>
    <cacheField name="fecha_documento" numFmtId="0">
      <sharedItems containsNonDate="0" containsString="0" containsBlank="1"/>
    </cacheField>
    <cacheField name="puerto_origen" numFmtId="0">
      <sharedItems/>
    </cacheField>
    <cacheField name="transporte" numFmtId="0">
      <sharedItems/>
    </cacheField>
    <cacheField name="puerto_destino" numFmtId="0">
      <sharedItems/>
    </cacheField>
    <cacheField name="cod_puerto_destino" numFmtId="0">
      <sharedItems containsNonDate="0" containsString="0" containsBlank="1"/>
    </cacheField>
    <cacheField name="agente" numFmtId="0">
      <sharedItems containsNonDate="0" containsString="0" containsBlank="1"/>
    </cacheField>
    <cacheField name="rut_agente" numFmtId="0">
      <sharedItems containsNonDate="0" containsString="0" containsBlank="1"/>
    </cacheField>
    <cacheField name="tipo_agente" numFmtId="0">
      <sharedItems containsNonDate="0" containsString="0" containsBlank="1"/>
    </cacheField>
    <cacheField name="comuna_agente" numFmtId="0">
      <sharedItems containsNonDate="0" containsString="0" containsBlank="1"/>
    </cacheField>
    <cacheField name="cod_nave" numFmtId="0">
      <sharedItems containsNonDate="0" containsString="0" containsBlank="1"/>
    </cacheField>
    <cacheField name="nave" numFmtId="0">
      <sharedItems/>
    </cacheField>
    <cacheField name="contenedor" numFmtId="0">
      <sharedItems/>
    </cacheField>
    <cacheField name="rut_exportadorta_embarque" numFmtId="0">
      <sharedItems containsNonDate="0" containsString="0" containsBlank="1"/>
    </cacheField>
    <cacheField name="pais_destino" numFmtId="0">
      <sharedItems/>
    </cacheField>
    <cacheField name="fecha_embarque" numFmtId="14">
      <sharedItems containsSemiMixedTypes="0" containsNonDate="0" containsDate="1" containsString="0" minDate="2026-05-22T00:00:00" maxDate="2026-06-01T00:00:00"/>
    </cacheField>
    <cacheField name="peso_neto_embalaje" numFmtId="0">
      <sharedItems/>
    </cacheField>
    <cacheField name="numero_instructivo" numFmtId="0">
      <sharedItems containsSemiMixedTypes="0" containsString="0" containsNumber="1" containsInteger="1" minValue="444" maxValue="449"/>
    </cacheField>
    <cacheField name="id_envase" numFmtId="0">
      <sharedItems containsNonDate="0" containsString="0" containsBlank="1"/>
    </cacheField>
    <cacheField name="cod_envase" numFmtId="0">
      <sharedItems containsNonDate="0" containsString="0" containsBlank="1"/>
    </cacheField>
    <cacheField name="numero_envase" numFmtId="0">
      <sharedItems containsNonDate="0" containsString="0" containsBlank="1"/>
    </cacheField>
    <cacheField name="csg_rotulado" numFmtId="0">
      <sharedItems/>
    </cacheField>
    <cacheField name="id_planta" numFmtId="0">
      <sharedItems containsSemiMixedTypes="0" containsString="0" containsNumber="1" containsInteger="1" minValue="19" maxValue="119"/>
    </cacheField>
    <cacheField name="csp" numFmtId="0">
      <sharedItems/>
    </cacheField>
    <cacheField name="rut_embarcador" numFmtId="0">
      <sharedItems containsNonDate="0" containsString="0" containsBlank="1"/>
    </cacheField>
    <cacheField name="embarcador" numFmtId="0">
      <sharedItems/>
    </cacheField>
    <cacheField name="numero_sello" numFmtId="0">
      <sharedItems/>
    </cacheField>
    <cacheField name="csg_productor" numFmtId="0">
      <sharedItems/>
    </cacheField>
    <cacheField name="id_tipo_contenedor" numFmtId="0">
      <sharedItems containsNonDate="0" containsString="0" containsBlank="1"/>
    </cacheField>
    <cacheField name="cod_tipo_contenedor" numFmtId="0">
      <sharedItems containsNonDate="0" containsString="0" containsBlank="1"/>
    </cacheField>
    <cacheField name="numero_tipo_contenedor" numFmtId="0">
      <sharedItems containsNonDate="0" containsString="0" containsBlank="1"/>
    </cacheField>
    <cacheField name="temperatura" numFmtId="0">
      <sharedItems/>
    </cacheField>
    <cacheField name="embarque_id" numFmtId="0">
      <sharedItems containsSemiMixedTypes="0" containsString="0" containsNumber="1" containsInteger="1" minValue="474" maxValue="479"/>
    </cacheField>
    <cacheField name="mercado" numFmtId="0">
      <sharedItems/>
    </cacheField>
    <cacheField name="etiqueta" numFmtId="0">
      <sharedItems/>
    </cacheField>
    <cacheField name="planta_nombre" numFmtId="0">
      <sharedItems/>
    </cacheField>
    <cacheField name="naviera" numFmtId="0">
      <sharedItems/>
    </cacheField>
    <cacheField name="booking" numFmtId="0">
      <sharedItems/>
    </cacheField>
    <cacheField name="BL" numFmtId="0">
      <sharedItems/>
    </cacheField>
    <cacheField name="cierre_stacking" numFmtId="0">
      <sharedItems containsSemiMixedTypes="0" containsString="0" containsNumber="1" containsInteger="1" minValue="46160" maxValue="46171"/>
    </cacheField>
    <cacheField name="estado_documento" numFmtId="0">
      <sharedItems containsNonDate="0" containsString="0" containsBlank="1"/>
    </cacheField>
    <cacheField name="empresa_transporte" numFmtId="0">
      <sharedItems/>
    </cacheField>
    <cacheField name="apertura_stacking" numFmtId="0">
      <sharedItems containsSemiMixedTypes="0" containsString="0" containsNumber="1" containsInteger="1" minValue="46157" maxValue="46168"/>
    </cacheField>
    <cacheField name="etd" numFmtId="14">
      <sharedItems containsSemiMixedTypes="0" containsNonDate="0" containsDate="1" containsString="0" minDate="2026-05-22T00:00:00" maxDate="2026-06-01T00:00:00"/>
    </cacheField>
    <cacheField name="eta" numFmtId="14">
      <sharedItems containsSemiMixedTypes="0" containsNonDate="0" containsDate="1" containsString="0" minDate="2026-05-28T00:00:00" maxDate="2026-06-25T00:00:00"/>
    </cacheField>
    <cacheField name="Fact Exportacion" numFmtId="0">
      <sharedItems containsSemiMixedTypes="0" containsString="0" containsNumber="1" containsInteger="1" minValue="0" maxValue="1977" count="432">
        <n v="1973"/>
        <n v="1974"/>
        <n v="1975"/>
        <n v="1976"/>
        <n v="1977"/>
        <n v="1543" u="1"/>
        <n v="1545" u="1"/>
        <n v="1544" u="1"/>
        <n v="1546" u="1"/>
        <n v="1550" u="1"/>
        <n v="1549" u="1"/>
        <n v="1548" u="1"/>
        <n v="1547" u="1"/>
        <n v="1551" u="1"/>
        <n v="1552" u="1"/>
        <n v="1555" u="1"/>
        <n v="1563" u="1"/>
        <n v="1564" u="1"/>
        <n v="1554" u="1"/>
        <n v="1553" u="1"/>
        <n v="1556" u="1"/>
        <n v="1565" u="1"/>
        <n v="1557" u="1"/>
        <n v="1558" u="1"/>
        <n v="1566" u="1"/>
        <n v="1560" u="1"/>
        <n v="1561" u="1"/>
        <n v="1559" u="1"/>
        <n v="1568" u="1"/>
        <n v="1567" u="1"/>
        <n v="1562" u="1"/>
        <n v="1569" u="1"/>
        <n v="1570" u="1"/>
        <n v="1575" u="1"/>
        <n v="1571" u="1"/>
        <n v="1572" u="1"/>
        <n v="1574" u="1"/>
        <n v="1573" u="1"/>
        <n v="1576" u="1"/>
        <n v="1577" u="1"/>
        <n v="1582" u="1"/>
        <n v="1578" u="1"/>
        <n v="1585" u="1"/>
        <n v="1580" u="1"/>
        <n v="1584" u="1"/>
        <n v="1583" u="1"/>
        <n v="1581" u="1"/>
        <n v="1586" u="1"/>
        <n v="1579" u="1"/>
        <n v="1600" u="1"/>
        <n v="1587" u="1"/>
        <n v="1588" u="1"/>
        <n v="1589" u="1"/>
        <n v="1591" u="1"/>
        <n v="1590" u="1"/>
        <n v="1597" u="1"/>
        <n v="1595" u="1"/>
        <n v="1599" u="1"/>
        <n v="1593" u="1"/>
        <n v="1594" u="1"/>
        <n v="1596" u="1"/>
        <n v="1603" u="1"/>
        <n v="1602" u="1"/>
        <n v="1592" u="1"/>
        <n v="1598" u="1"/>
        <n v="1604" u="1"/>
        <n v="1601" u="1"/>
        <n v="1622" u="1"/>
        <n v="1607" u="1"/>
        <n v="1608" u="1"/>
        <n v="1605" u="1"/>
        <n v="1617" u="1"/>
        <n v="1618" u="1"/>
        <n v="1609" u="1"/>
        <n v="1619" u="1"/>
        <n v="1620" u="1"/>
        <n v="1613" u="1"/>
        <n v="1621" u="1"/>
        <n v="1611" u="1"/>
        <n v="1612" u="1"/>
        <n v="1610" u="1"/>
        <n v="1606" u="1"/>
        <n v="1623" u="1"/>
        <n v="1624" u="1"/>
        <n v="1626" u="1"/>
        <n v="1616" u="1"/>
        <n v="1614" u="1"/>
        <n v="1633" u="1"/>
        <n v="1634" u="1"/>
        <n v="1645" u="1"/>
        <n v="1636" u="1"/>
        <n v="1627" u="1"/>
        <n v="1615" u="1"/>
        <n v="1625" u="1"/>
        <n v="1628" u="1"/>
        <n v="1630" u="1"/>
        <n v="1631" u="1"/>
        <n v="1632" u="1"/>
        <n v="1635" u="1"/>
        <n v="1637" u="1"/>
        <n v="1650" u="1"/>
        <n v="1639" u="1"/>
        <n v="1629" u="1"/>
        <n v="1653" u="1"/>
        <n v="1660" u="1"/>
        <n v="1661" u="1"/>
        <n v="1654" u="1"/>
        <n v="1648" u="1"/>
        <n v="1649" u="1"/>
        <n v="1651" u="1"/>
        <n v="1638" u="1"/>
        <n v="1652" u="1"/>
        <n v="1641" u="1"/>
        <n v="1646" u="1"/>
        <n v="1647" u="1"/>
        <n v="1644" u="1"/>
        <n v="1640" u="1"/>
        <n v="1642" u="1"/>
        <n v="1655" u="1"/>
        <n v="1643" u="1"/>
        <n v="1657" u="1"/>
        <n v="1658" u="1"/>
        <n v="1656" u="1"/>
        <n v="1673" u="1"/>
        <n v="1663" u="1"/>
        <n v="1662" u="1"/>
        <n v="1659" u="1"/>
        <n v="1667" u="1"/>
        <n v="1675" u="1"/>
        <n v="1666" u="1"/>
        <n v="1664" u="1"/>
        <n v="1665" u="1"/>
        <n v="1674" u="1"/>
        <n v="1676" u="1"/>
        <n v="1677" u="1"/>
        <n v="1668" u="1"/>
        <n v="1669" u="1"/>
        <n v="1670" u="1"/>
        <n v="1678" u="1"/>
        <n v="1671" u="1"/>
        <n v="1672" u="1"/>
        <n v="1679" u="1"/>
        <n v="1680" u="1"/>
        <n v="1704" u="1"/>
        <n v="1683" u="1"/>
        <n v="1684" u="1"/>
        <n v="1706" u="1"/>
        <n v="1681" u="1"/>
        <n v="1705" u="1"/>
        <n v="1689" u="1"/>
        <n v="1685" u="1"/>
        <n v="1686" u="1"/>
        <n v="1687" u="1"/>
        <n v="1688" u="1"/>
        <n v="1690" u="1"/>
        <n v="1707" u="1"/>
        <n v="1691" u="1"/>
        <n v="1708" u="1"/>
        <n v="1709" u="1"/>
        <n v="1711" u="1"/>
        <n v="1710" u="1"/>
        <n v="1682" u="1"/>
        <n v="1712" u="1"/>
        <n v="1693" u="1"/>
        <n v="1694" u="1"/>
        <n v="1713" u="1"/>
        <n v="1714" u="1"/>
        <n v="1695" u="1"/>
        <n v="1696" u="1"/>
        <n v="1697" u="1"/>
        <n v="1715" u="1"/>
        <n v="1717" u="1"/>
        <n v="1698" u="1"/>
        <n v="1718" u="1"/>
        <n v="1699" u="1"/>
        <n v="1700" u="1"/>
        <n v="1701" u="1"/>
        <n v="1719" u="1"/>
        <n v="1720" u="1"/>
        <n v="1702" u="1"/>
        <n v="1703" u="1"/>
        <n v="1716" u="1"/>
        <n v="1721" u="1"/>
        <n v="1692" u="1"/>
        <n v="1733" u="1"/>
        <n v="1722" u="1"/>
        <n v="1723" u="1"/>
        <n v="1724" u="1"/>
        <n v="1735" u="1"/>
        <n v="1725" u="1"/>
        <n v="1736" u="1"/>
        <n v="1738" u="1"/>
        <n v="1739" u="1"/>
        <n v="1726" u="1"/>
        <n v="1727" u="1"/>
        <n v="1728" u="1"/>
        <n v="1729" u="1"/>
        <n v="1741" u="1"/>
        <n v="1730" u="1"/>
        <n v="1731" u="1"/>
        <n v="1742" u="1"/>
        <n v="1744" u="1"/>
        <n v="1745" u="1"/>
        <n v="1732" u="1"/>
        <n v="1734" u="1"/>
        <n v="1743" u="1"/>
        <n v="1748" u="1"/>
        <n v="1746" u="1"/>
        <n v="1768" u="1"/>
        <n v="1751" u="1"/>
        <n v="1769" u="1"/>
        <n v="1740" u="1"/>
        <n v="1737" u="1"/>
        <n v="1750" u="1"/>
        <n v="1771" u="1"/>
        <n v="1755" u="1"/>
        <n v="1772" u="1"/>
        <n v="1756" u="1"/>
        <n v="1773" u="1"/>
        <n v="1758" u="1"/>
        <n v="1775" u="1"/>
        <n v="1776" u="1"/>
        <n v="1762" u="1"/>
        <n v="1779" u="1"/>
        <n v="1763" u="1"/>
        <n v="1878" u="1"/>
        <n v="1764" u="1"/>
        <n v="1767" u="1"/>
        <n v="1752" u="1"/>
        <n v="1754" u="1"/>
        <n v="1781" u="1"/>
        <n v="1770" u="1"/>
        <n v="1753" u="1"/>
        <n v="1759" u="1"/>
        <n v="1760" u="1"/>
        <n v="1777" u="1"/>
        <n v="1761" u="1"/>
        <n v="1778" u="1"/>
        <n v="1765" u="1"/>
        <n v="1780" u="1"/>
        <n v="1783" u="1"/>
        <n v="1766" u="1"/>
        <n v="1782" u="1"/>
        <n v="1757" u="1"/>
        <n v="1774" u="1"/>
        <n v="1812" u="1"/>
        <n v="1787" u="1"/>
        <n v="1794" u="1"/>
        <n v="1785" u="1"/>
        <n v="1786" u="1"/>
        <n v="1793" u="1"/>
        <n v="1792" u="1"/>
        <n v="1798" u="1"/>
        <n v="1795" u="1"/>
        <n v="1791" u="1"/>
        <n v="1797" u="1"/>
        <n v="1796" u="1"/>
        <n v="1789" u="1"/>
        <n v="1808" u="1"/>
        <n v="1790" u="1"/>
        <n v="1784" u="1"/>
        <n v="1788" u="1"/>
        <n v="1807" u="1"/>
        <n v="1799" u="1"/>
        <n v="1801" u="1"/>
        <n v="1802" u="1"/>
        <n v="1803" u="1"/>
        <n v="1805" u="1"/>
        <n v="1806" u="1"/>
        <n v="1809" u="1"/>
        <n v="1810" u="1"/>
        <n v="1811" u="1"/>
        <n v="1813" u="1"/>
        <n v="1814" u="1"/>
        <n v="1815" u="1"/>
        <n v="1817" u="1"/>
        <n v="1816" u="1"/>
        <n v="1819" u="1"/>
        <n v="1820" u="1"/>
        <n v="1822" u="1"/>
        <n v="1821" u="1"/>
        <n v="1826" u="1"/>
        <n v="1830" u="1"/>
        <n v="1827" u="1"/>
        <n v="1831" u="1"/>
        <n v="1828" u="1"/>
        <n v="1829" u="1"/>
        <n v="1800" u="1"/>
        <n v="1804" u="1"/>
        <n v="1832" u="1"/>
        <n v="1833" u="1"/>
        <n v="1834" u="1"/>
        <n v="1835" u="1"/>
        <n v="1838" u="1"/>
        <n v="1836" u="1"/>
        <n v="1841" u="1"/>
        <n v="1844" u="1"/>
        <n v="1846" u="1"/>
        <n v="1843" u="1"/>
        <n v="1818" u="1"/>
        <n v="1824" u="1"/>
        <n v="1837" u="1"/>
        <n v="1842" u="1"/>
        <n v="1851" u="1"/>
        <n v="1848" u="1"/>
        <n v="1845" u="1"/>
        <n v="1847" u="1"/>
        <n v="1849" u="1"/>
        <n v="1850" u="1"/>
        <n v="1853" u="1"/>
        <n v="1854" u="1"/>
        <n v="1855" u="1"/>
        <n v="1856" u="1"/>
        <n v="1852" u="1"/>
        <n v="1825" u="1"/>
        <n v="1823" u="1"/>
        <n v="1840" u="1"/>
        <n v="1839" u="1"/>
        <n v="1876" u="1"/>
        <n v="1865" u="1"/>
        <n v="1866" u="1"/>
        <n v="1880" u="1"/>
        <n v="1867" u="1"/>
        <n v="1858" u="1"/>
        <n v="1868" u="1"/>
        <n v="1869" u="1"/>
        <n v="1859" u="1"/>
        <n v="1860" u="1"/>
        <n v="1870" u="1"/>
        <n v="1871" u="1"/>
        <n v="1879" u="1"/>
        <n v="1861" u="1"/>
        <n v="1862" u="1"/>
        <n v="1872" u="1"/>
        <n v="1873" u="1"/>
        <n v="1863" u="1"/>
        <n v="1864" u="1"/>
        <n v="1874" u="1"/>
        <n v="1875" u="1"/>
        <n v="1857" u="1"/>
        <n v="1882" u="1"/>
        <n v="1887" u="1"/>
        <n v="1881" u="1"/>
        <n v="1884" u="1"/>
        <n v="1889" u="1"/>
        <n v="1888" u="1"/>
        <n v="1877" u="1"/>
        <n v="1883" u="1"/>
        <n v="1895" u="1"/>
        <n v="1890" u="1"/>
        <n v="1886" u="1"/>
        <n v="1892" u="1"/>
        <n v="1893" u="1"/>
        <n v="1894" u="1"/>
        <n v="1896" u="1"/>
        <n v="1901" u="1"/>
        <n v="1897" u="1"/>
        <n v="1898" u="1"/>
        <n v="1899" u="1"/>
        <n v="1900" u="1"/>
        <n v="1902" u="1"/>
        <n v="1903" u="1"/>
        <n v="1906" u="1"/>
        <n v="1907" u="1"/>
        <n v="1904" u="1"/>
        <n v="1908" u="1"/>
        <n v="1905" u="1"/>
        <n v="1912" u="1"/>
        <n v="1916" u="1"/>
        <n v="1917" u="1"/>
        <n v="1920" u="1"/>
        <n v="1921" u="1"/>
        <n v="1910" u="1"/>
        <n v="1911" u="1"/>
        <n v="1913" u="1"/>
        <n v="1928" u="1"/>
        <n v="1909" u="1"/>
        <n v="1914" u="1"/>
        <n v="1915" u="1"/>
        <n v="1927" u="1"/>
        <n v="1926" u="1"/>
        <n v="1918" u="1"/>
        <n v="1919" u="1"/>
        <n v="1923" u="1"/>
        <n v="1925" u="1"/>
        <n v="1924" u="1"/>
        <n v="1922" u="1"/>
        <n v="1932" u="1"/>
        <n v="1929" u="1"/>
        <n v="1931" u="1"/>
        <n v="1930" u="1"/>
        <n v="1937" u="1"/>
        <n v="1933" u="1"/>
        <n v="1936" u="1"/>
        <n v="1938" u="1"/>
        <n v="1934" u="1"/>
        <n v="1935" u="1"/>
        <n v="1941" u="1"/>
        <n v="1939" u="1"/>
        <n v="1942" u="1"/>
        <n v="1940" u="1"/>
        <n v="1943" u="1"/>
        <n v="1947" u="1"/>
        <n v="1944" u="1"/>
        <n v="1945" u="1"/>
        <n v="1948" u="1"/>
        <n v="1952" u="1"/>
        <n v="1885" u="1"/>
        <n v="1891" u="1"/>
        <n v="1949" u="1"/>
        <n v="1946" u="1"/>
        <n v="1950" u="1"/>
        <n v="1951" u="1"/>
        <n v="1953" u="1"/>
        <n v="1954" u="1"/>
        <n v="1955" u="1"/>
        <n v="1956" u="1"/>
        <n v="1957" u="1"/>
        <n v="1960" u="1"/>
        <n v="1958" u="1"/>
        <n v="1959" u="1"/>
        <n v="1963" u="1"/>
        <n v="1964" u="1"/>
        <n v="1966" u="1"/>
        <n v="1971" u="1"/>
        <n v="1968" u="1"/>
        <n v="1967" u="1"/>
        <n v="1969" u="1"/>
        <n v="1970" u="1"/>
        <n v="1961" u="1"/>
        <n v="1962" u="1"/>
        <n v="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5">
  <r>
    <s v="2025-2026"/>
    <n v="20376"/>
    <x v="0"/>
    <d v="2026-05-18T00:00:00"/>
    <s v="ALMAHUE EXPORT SPA"/>
    <n v="5"/>
    <s v="ALM SERVICES SPA"/>
    <s v="Z120030971"/>
    <s v="Z120030971"/>
    <s v="2026-05-18 15:37:00"/>
    <s v="119278"/>
    <s v="AGRICOLA LOS MOSTOS SPA"/>
    <n v="23"/>
    <s v="NARANJAS"/>
    <s v="OC15G02"/>
    <s v="GRANEL"/>
    <s v="CYL FRUITS"/>
    <n v="15"/>
    <s v="CAT-1"/>
    <s v="CAT-1"/>
    <s v="EXPORTACION"/>
    <s v="50"/>
    <n v="80"/>
    <n v="1200"/>
    <s v="MAYO"/>
    <x v="0"/>
  </r>
  <r>
    <s v="2025-2026"/>
    <n v="20377"/>
    <x v="0"/>
    <d v="2026-05-18T00:00:00"/>
    <s v="ALMAHUE EXPORT SPA"/>
    <n v="5"/>
    <s v="ALM SERVICES SPA"/>
    <s v="Z120030974"/>
    <s v="Z120030974"/>
    <s v="2026-05-18 15:37:00"/>
    <s v="119278"/>
    <s v="AGRICOLA LOS MOSTOS SPA"/>
    <n v="23"/>
    <s v="NARANJAS"/>
    <s v="OC15G02"/>
    <s v="GRANEL"/>
    <s v="CYL FRUITS"/>
    <n v="15"/>
    <s v="CAT-1"/>
    <s v="CAT-1"/>
    <s v="EXPORTACION"/>
    <s v="60"/>
    <n v="80"/>
    <n v="1200"/>
    <s v="MAYO"/>
    <x v="0"/>
  </r>
  <r>
    <s v="2025-2026"/>
    <n v="20378"/>
    <x v="0"/>
    <d v="2026-05-18T00:00:00"/>
    <s v="ALMAHUE EXPORT SPA"/>
    <n v="5"/>
    <s v="ALM SERVICES SPA"/>
    <s v="Z120030975"/>
    <s v="Z120030975"/>
    <s v="2026-05-18 15:37:00"/>
    <s v="119278"/>
    <s v="AGRICOLA LOS MOSTOS SPA"/>
    <n v="23"/>
    <s v="NARANJAS"/>
    <s v="OC15G02"/>
    <s v="GRANEL"/>
    <s v="CYL FRUITS"/>
    <n v="15"/>
    <s v="CAT-1"/>
    <s v="CAT-1"/>
    <s v="EXPORTACION"/>
    <s v="100"/>
    <n v="80"/>
    <n v="1200"/>
    <s v="MAYO"/>
    <x v="0"/>
  </r>
  <r>
    <s v="2025-2026"/>
    <n v="20379"/>
    <x v="0"/>
    <d v="2026-05-18T00:00:00"/>
    <s v="ALMAHUE EXPORT SPA"/>
    <n v="5"/>
    <s v="ALM SERVICES SPA"/>
    <s v="Z120030976"/>
    <s v="Z120030976"/>
    <s v="2026-05-18 15:37:00"/>
    <s v="119278"/>
    <s v="AGRICOLA LOS MOSTOS SPA"/>
    <n v="23"/>
    <s v="NARANJAS"/>
    <s v="OC15G02"/>
    <s v="GRANEL"/>
    <s v="CYL FRUITS"/>
    <n v="15"/>
    <s v="CAT-1"/>
    <s v="CAT-1"/>
    <s v="EXPORTACION"/>
    <s v="70"/>
    <n v="80"/>
    <n v="1200"/>
    <s v="MAYO"/>
    <x v="0"/>
  </r>
  <r>
    <s v="2025-2026"/>
    <n v="20380"/>
    <x v="0"/>
    <d v="2026-05-18T00:00:00"/>
    <s v="ALMAHUE EXPORT SPA"/>
    <n v="5"/>
    <s v="ALM SERVICES SPA"/>
    <s v="Z120030980"/>
    <s v="Z120030980"/>
    <s v="2026-05-18 15:37:00"/>
    <s v="119278"/>
    <s v="AGRICOLA LOS MOSTOS SPA"/>
    <n v="23"/>
    <s v="NARANJAS"/>
    <s v="OC15G02"/>
    <s v="GRANEL"/>
    <s v="CYL FRUITS"/>
    <n v="15"/>
    <s v="CAT-1"/>
    <s v="CAT-1"/>
    <s v="EXPORTACION"/>
    <s v="80"/>
    <n v="80"/>
    <n v="1200"/>
    <s v="MAYO"/>
    <x v="0"/>
  </r>
  <r>
    <s v="2025-2026"/>
    <n v="20381"/>
    <x v="0"/>
    <d v="2026-05-18T00:00:00"/>
    <s v="ALMAHUE EXPORT SPA"/>
    <n v="5"/>
    <s v="ALM SERVICES SPA"/>
    <s v="Z120030981"/>
    <s v="Z120030981"/>
    <s v="2026-05-18 15:37:00"/>
    <s v="119278"/>
    <s v="AGRICOLA LOS MOSTOS SPA"/>
    <n v="23"/>
    <s v="NARANJAS"/>
    <s v="OC15G02"/>
    <s v="GRANEL"/>
    <s v="CYL FRUITS"/>
    <n v="15"/>
    <s v="CAT-1"/>
    <s v="CAT-1"/>
    <s v="EXPORTACION"/>
    <s v="70"/>
    <n v="80"/>
    <n v="1200"/>
    <s v="MAYO"/>
    <x v="0"/>
  </r>
  <r>
    <s v="2025-2026"/>
    <n v="20382"/>
    <x v="0"/>
    <d v="2026-05-18T00:00:00"/>
    <s v="ALMAHUE EXPORT SPA"/>
    <n v="5"/>
    <s v="ALM SERVICES SPA"/>
    <s v="Z120030983"/>
    <s v="Z120030983"/>
    <s v="2026-05-18 15:37:00"/>
    <s v="119278"/>
    <s v="AGRICOLA LOS MOSTOS SPA"/>
    <n v="23"/>
    <s v="NARANJAS"/>
    <s v="OC15G02"/>
    <s v="GRANEL"/>
    <s v="CYL FRUITS"/>
    <n v="15"/>
    <s v="CAT-1"/>
    <s v="CAT-1"/>
    <s v="EXPORTACION"/>
    <s v="60"/>
    <n v="80"/>
    <n v="1200"/>
    <s v="MAYO"/>
    <x v="0"/>
  </r>
  <r>
    <s v="2025-2026"/>
    <n v="20383"/>
    <x v="0"/>
    <d v="2026-05-18T00:00:00"/>
    <s v="ALMAHUE EXPORT SPA"/>
    <n v="5"/>
    <s v="ALM SERVICES SPA"/>
    <s v="Z120030984"/>
    <s v="Z120030984"/>
    <s v="2026-05-18 15:37:00"/>
    <s v="119278"/>
    <s v="AGRICOLA LOS MOSTOS SPA"/>
    <n v="23"/>
    <s v="NARANJAS"/>
    <s v="OC15G02"/>
    <s v="GRANEL"/>
    <s v="CYL FRUITS"/>
    <n v="15"/>
    <s v="CAT-1"/>
    <s v="CAT-1"/>
    <s v="EXPORTACION"/>
    <s v="70"/>
    <n v="80"/>
    <n v="1200"/>
    <s v="MAYO"/>
    <x v="0"/>
  </r>
  <r>
    <s v="2025-2026"/>
    <n v="20384"/>
    <x v="0"/>
    <d v="2026-05-18T00:00:00"/>
    <s v="ALMAHUE EXPORT SPA"/>
    <n v="5"/>
    <s v="ALM SERVICES SPA"/>
    <s v="Z120030985"/>
    <s v="Z120030985"/>
    <s v="2026-05-18 15:37:00"/>
    <s v="119278"/>
    <s v="AGRICOLA LOS MOSTOS SPA"/>
    <n v="23"/>
    <s v="NARANJAS"/>
    <s v="OC15G02"/>
    <s v="GRANEL"/>
    <s v="CYL FRUITS"/>
    <n v="15"/>
    <s v="CAT-1"/>
    <s v="CAT-1"/>
    <s v="EXPORTACION"/>
    <s v="80"/>
    <n v="80"/>
    <n v="1200"/>
    <s v="MAYO"/>
    <x v="0"/>
  </r>
  <r>
    <s v="2025-2026"/>
    <n v="20385"/>
    <x v="0"/>
    <d v="2026-05-18T00:00:00"/>
    <s v="ALMAHUE EXPORT SPA"/>
    <n v="5"/>
    <s v="ALM SERVICES SPA"/>
    <s v="Z120030986"/>
    <s v="Z120030986"/>
    <s v="2026-05-18 15:37:00"/>
    <s v="119278"/>
    <s v="AGRICOLA LOS MOSTOS SPA"/>
    <n v="23"/>
    <s v="NARANJAS"/>
    <s v="OC15G02"/>
    <s v="GRANEL"/>
    <s v="CYL FRUITS"/>
    <n v="15"/>
    <s v="CAT-1"/>
    <s v="CAT-1"/>
    <s v="EXPORTACION"/>
    <s v="60"/>
    <n v="80"/>
    <n v="1200"/>
    <s v="MAYO"/>
    <x v="0"/>
  </r>
  <r>
    <s v="2025-2026"/>
    <n v="20386"/>
    <x v="0"/>
    <d v="2026-05-18T00:00:00"/>
    <s v="ALMAHUE EXPORT SPA"/>
    <n v="5"/>
    <s v="ALM SERVICES SPA"/>
    <s v="Z120030988"/>
    <s v="Z120030988"/>
    <s v="2026-05-18 15:37:00"/>
    <s v="119278"/>
    <s v="AGRICOLA LOS MOSTOS SPA"/>
    <n v="23"/>
    <s v="NARANJAS"/>
    <s v="OC15G02"/>
    <s v="GRANEL"/>
    <s v="CYL FRUITS"/>
    <n v="15"/>
    <s v="CAT-1"/>
    <s v="CAT-1"/>
    <s v="EXPORTACION"/>
    <s v="70"/>
    <n v="80"/>
    <n v="1200"/>
    <s v="MAYO"/>
    <x v="0"/>
  </r>
  <r>
    <s v="2025-2026"/>
    <n v="20387"/>
    <x v="0"/>
    <d v="2026-05-18T00:00:00"/>
    <s v="ALMAHUE EXPORT SPA"/>
    <n v="5"/>
    <s v="ALM SERVICES SPA"/>
    <s v="Z120030989"/>
    <s v="Z120030989"/>
    <s v="2026-05-18 15:37:00"/>
    <s v="119278"/>
    <s v="AGRICOLA LOS MOSTOS SPA"/>
    <n v="23"/>
    <s v="NARANJAS"/>
    <s v="OC15G02"/>
    <s v="GRANEL"/>
    <s v="CYL FRUITS"/>
    <n v="15"/>
    <s v="CAT-1"/>
    <s v="CAT-1"/>
    <s v="EXPORTACION"/>
    <s v="80"/>
    <n v="80"/>
    <n v="1200"/>
    <s v="MAYO"/>
    <x v="0"/>
  </r>
  <r>
    <s v="2025-2026"/>
    <n v="20388"/>
    <x v="0"/>
    <d v="2026-05-18T00:00:00"/>
    <s v="ALMAHUE EXPORT SPA"/>
    <n v="5"/>
    <s v="ALM SERVICES SPA"/>
    <s v="Z120030990"/>
    <s v="Z120030990"/>
    <s v="2026-05-18 15:37:00"/>
    <s v="119278"/>
    <s v="AGRICOLA LOS MOSTOS SPA"/>
    <n v="23"/>
    <s v="NARANJAS"/>
    <s v="OC15G02"/>
    <s v="GRANEL"/>
    <s v="CYL FRUITS"/>
    <n v="15"/>
    <s v="CAT-1"/>
    <s v="CAT-1"/>
    <s v="EXPORTACION"/>
    <s v="100"/>
    <n v="80"/>
    <n v="1200"/>
    <s v="MAYO"/>
    <x v="0"/>
  </r>
  <r>
    <s v="2025-2026"/>
    <n v="20389"/>
    <x v="0"/>
    <d v="2026-05-18T00:00:00"/>
    <s v="ALMAHUE EXPORT SPA"/>
    <n v="5"/>
    <s v="ALM SERVICES SPA"/>
    <s v="Z120030992"/>
    <s v="Z120030992"/>
    <s v="2026-05-18 15:37:00"/>
    <s v="119278"/>
    <s v="AGRICOLA LOS MOSTOS SPA"/>
    <n v="23"/>
    <s v="NARANJAS"/>
    <s v="OC15G02"/>
    <s v="GRANEL"/>
    <s v="CYL FRUITS"/>
    <n v="15"/>
    <s v="CAT-1"/>
    <s v="CAT-1"/>
    <s v="EXPORTACION"/>
    <s v="70"/>
    <n v="80"/>
    <n v="1200"/>
    <s v="MAYO"/>
    <x v="0"/>
  </r>
  <r>
    <s v="2025-2026"/>
    <n v="20390"/>
    <x v="0"/>
    <d v="2026-05-18T00:00:00"/>
    <s v="ALMAHUE EXPORT SPA"/>
    <n v="5"/>
    <s v="ALM SERVICES SPA"/>
    <s v="Z120030993"/>
    <s v="Z120030993"/>
    <s v="2026-05-18 15:37:00"/>
    <s v="119278"/>
    <s v="AGRICOLA LOS MOSTOS SPA"/>
    <n v="23"/>
    <s v="NARANJAS"/>
    <s v="OC15G02"/>
    <s v="GRANEL"/>
    <s v="CYL FRUITS"/>
    <n v="15"/>
    <s v="CAT-1"/>
    <s v="CAT-1"/>
    <s v="EXPORTACION"/>
    <s v="80"/>
    <n v="80"/>
    <n v="1200"/>
    <s v="MAYO"/>
    <x v="0"/>
  </r>
  <r>
    <s v="2025-2026"/>
    <n v="20391"/>
    <x v="0"/>
    <d v="2026-05-18T00:00:00"/>
    <s v="ALMAHUE EXPORT SPA"/>
    <n v="5"/>
    <s v="ALM SERVICES SPA"/>
    <s v="Z120030994"/>
    <s v="Z120030994"/>
    <s v="2026-05-18 15:37:00"/>
    <s v="119278"/>
    <s v="AGRICOLA LOS MOSTOS SPA"/>
    <n v="23"/>
    <s v="NARANJAS"/>
    <s v="OC15G02"/>
    <s v="GRANEL"/>
    <s v="CYL FRUITS"/>
    <n v="15"/>
    <s v="CAT-1"/>
    <s v="CAT-1"/>
    <s v="EXPORTACION"/>
    <s v="70"/>
    <n v="80"/>
    <n v="1200"/>
    <s v="MAYO"/>
    <x v="0"/>
  </r>
  <r>
    <s v="2025-2026"/>
    <n v="20392"/>
    <x v="0"/>
    <d v="2026-05-18T00:00:00"/>
    <s v="ALMAHUE EXPORT SPA"/>
    <n v="5"/>
    <s v="ALM SERVICES SPA"/>
    <s v="Z120030995"/>
    <s v="Z120030995"/>
    <s v="2026-05-18 15:37:00"/>
    <s v="119278"/>
    <s v="AGRICOLA LOS MOSTOS SPA"/>
    <n v="23"/>
    <s v="NARANJAS"/>
    <s v="OC15G02"/>
    <s v="GRANEL"/>
    <s v="CYL FRUITS"/>
    <n v="15"/>
    <s v="CAT-1"/>
    <s v="CAT-1"/>
    <s v="EXPORTACION"/>
    <s v="80"/>
    <n v="80"/>
    <n v="1200"/>
    <s v="MAYO"/>
    <x v="0"/>
  </r>
  <r>
    <s v="2025-2026"/>
    <n v="20393"/>
    <x v="0"/>
    <d v="2026-05-18T00:00:00"/>
    <s v="ALMAHUE EXPORT SPA"/>
    <n v="5"/>
    <s v="ALM SERVICES SPA"/>
    <s v="Z120030996"/>
    <s v="Z120030996"/>
    <s v="2026-05-18 15:37:00"/>
    <s v="119278"/>
    <s v="AGRICOLA LOS MOSTOS SPA"/>
    <n v="23"/>
    <s v="NARANJAS"/>
    <s v="OC15G02"/>
    <s v="GRANEL"/>
    <s v="CYL FRUITS"/>
    <n v="15"/>
    <s v="CAT-1"/>
    <s v="CAT-1"/>
    <s v="EXPORTACION"/>
    <s v="70"/>
    <n v="80"/>
    <n v="1200"/>
    <s v="MAYO"/>
    <x v="0"/>
  </r>
  <r>
    <s v="2025-2026"/>
    <n v="20394"/>
    <x v="0"/>
    <d v="2026-05-18T00:00:00"/>
    <s v="ALMAHUE EXPORT SPA"/>
    <n v="5"/>
    <s v="ALM SERVICES SPA"/>
    <s v="Z120030997"/>
    <s v="Z120030997"/>
    <s v="2026-05-18 15:37:00"/>
    <s v="119278"/>
    <s v="AGRICOLA LOS MOSTOS SPA"/>
    <n v="23"/>
    <s v="NARANJAS"/>
    <s v="OC15G02"/>
    <s v="GRANEL"/>
    <s v="CYL FRUITS"/>
    <n v="15"/>
    <s v="CAT-1"/>
    <s v="CAT-1"/>
    <s v="EXPORTACION"/>
    <s v="60"/>
    <n v="80"/>
    <n v="1200"/>
    <s v="MAYO"/>
    <x v="0"/>
  </r>
  <r>
    <s v="2025-2026"/>
    <n v="20395"/>
    <x v="0"/>
    <d v="2026-05-18T00:00:00"/>
    <s v="ALMAHUE EXPORT SPA"/>
    <n v="5"/>
    <s v="ALM SERVICES SPA"/>
    <s v="Z120030998"/>
    <s v="Z120030998"/>
    <s v="2026-05-18 15:37:00"/>
    <s v="119278"/>
    <s v="AGRICOLA LOS MOSTOS SPA"/>
    <n v="23"/>
    <s v="NARANJAS"/>
    <s v="OC15G02"/>
    <s v="GRANEL"/>
    <s v="CYL FRUITS"/>
    <n v="15"/>
    <s v="CAT-1"/>
    <s v="CAT-1"/>
    <s v="EXPORTACION"/>
    <s v="80"/>
    <n v="80"/>
    <n v="1200"/>
    <s v="MAYO"/>
    <x v="0"/>
  </r>
  <r>
    <s v="2025-2026"/>
    <n v="20396"/>
    <x v="1"/>
    <d v="2026-05-22T00:00:00"/>
    <s v="ALMAHUE EXPORT SPA"/>
    <n v="5"/>
    <s v="ALM SERVICES SPA"/>
    <s v="Z120030916"/>
    <s v="Z120030916"/>
    <s v="2026-05-22 10:20:00"/>
    <s v="119278"/>
    <s v="AGRICOLA LOS MOSTOS SPA"/>
    <n v="23"/>
    <s v="NARANJAS"/>
    <s v="OC15OT10"/>
    <s v="CANADA"/>
    <s v="CHAMONATE SPA"/>
    <n v="15"/>
    <s v="CAT-1"/>
    <s v="CAT-1"/>
    <s v="EXPORTACION"/>
    <s v="40"/>
    <n v="36"/>
    <n v="540"/>
    <s v="MAYO"/>
    <x v="0"/>
  </r>
  <r>
    <s v="2025-2026"/>
    <n v="20397"/>
    <x v="1"/>
    <d v="2026-05-22T00:00:00"/>
    <s v="ALMAHUE EXPORT SPA"/>
    <n v="5"/>
    <s v="ALM SERVICES SPA"/>
    <s v="Z120030916"/>
    <s v="Z120030916"/>
    <s v="2026-05-22 10:20:00"/>
    <s v="119278"/>
    <s v="AGRICOLA LOS MOSTOS SPA"/>
    <n v="23"/>
    <s v="NARANJAS"/>
    <s v="OC15OT10"/>
    <s v="CANADA"/>
    <s v="CHAMONATE SPA"/>
    <n v="15"/>
    <s v="CAT-1"/>
    <s v="CAT-1"/>
    <s v="EXPORTACION"/>
    <s v="40"/>
    <n v="24"/>
    <n v="360"/>
    <s v="MAYO"/>
    <x v="0"/>
  </r>
  <r>
    <s v="2025-2026"/>
    <n v="20398"/>
    <x v="1"/>
    <d v="2026-05-22T00:00:00"/>
    <s v="ALMAHUE EXPORT SPA"/>
    <n v="5"/>
    <s v="ALM SERVICES SPA"/>
    <s v="Z120030918"/>
    <s v="Z120030918"/>
    <s v="2026-05-22 10:20:00"/>
    <s v="119278"/>
    <s v="AGRICOLA LOS MOSTOS SPA"/>
    <n v="23"/>
    <s v="NARANJAS"/>
    <s v="OC15OT10"/>
    <s v="CANADA"/>
    <s v="CHAMONATE SPA"/>
    <n v="15"/>
    <s v="CAT-1"/>
    <s v="CAT-1"/>
    <s v="EXPORTACION"/>
    <s v="50"/>
    <n v="60"/>
    <n v="900"/>
    <s v="MAYO"/>
    <x v="0"/>
  </r>
  <r>
    <s v="2025-2026"/>
    <n v="20399"/>
    <x v="1"/>
    <d v="2026-05-22T00:00:00"/>
    <s v="ALMAHUE EXPORT SPA"/>
    <n v="5"/>
    <s v="ALM SERVICES SPA"/>
    <s v="Z120030921"/>
    <s v="Z120030921"/>
    <s v="2026-05-22 10:20:00"/>
    <s v="119278"/>
    <s v="AGRICOLA LOS MOSTOS SPA"/>
    <n v="23"/>
    <s v="NARANJAS"/>
    <s v="OC15OT10"/>
    <s v="CANADA"/>
    <s v="CHAMONATE SPA"/>
    <n v="15"/>
    <s v="CAT-1"/>
    <s v="CAT-1"/>
    <s v="EXPORTACION"/>
    <s v="40"/>
    <n v="60"/>
    <n v="900"/>
    <s v="MAYO"/>
    <x v="0"/>
  </r>
  <r>
    <s v="2025-2026"/>
    <n v="20400"/>
    <x v="1"/>
    <d v="2026-05-22T00:00:00"/>
    <s v="ALMAHUE EXPORT SPA"/>
    <n v="5"/>
    <s v="ALM SERVICES SPA"/>
    <s v="Z120030923"/>
    <s v="Z120030923"/>
    <s v="2026-05-22 10:20:00"/>
    <s v="119278"/>
    <s v="AGRICOLA LOS MOSTOS SPA"/>
    <n v="23"/>
    <s v="NARANJAS"/>
    <s v="OC15OT10"/>
    <s v="CANADA"/>
    <s v="CHAMONATE SPA"/>
    <n v="15"/>
    <s v="CAT-1"/>
    <s v="CAT-1"/>
    <s v="EXPORTACION"/>
    <s v="50"/>
    <n v="60"/>
    <n v="900"/>
    <s v="MAYO"/>
    <x v="0"/>
  </r>
  <r>
    <s v="2025-2026"/>
    <n v="20401"/>
    <x v="1"/>
    <d v="2026-05-22T00:00:00"/>
    <s v="ALMAHUE EXPORT SPA"/>
    <n v="5"/>
    <s v="ALM SERVICES SPA"/>
    <s v="Z120030925"/>
    <s v="Z120030925"/>
    <s v="2026-05-22 10:20:00"/>
    <s v="119278"/>
    <s v="AGRICOLA LOS MOSTOS SPA"/>
    <n v="23"/>
    <s v="NARANJAS"/>
    <s v="OC15OT10"/>
    <s v="CANADA"/>
    <s v="CHAMONATE SPA"/>
    <n v="15"/>
    <s v="CAT-1"/>
    <s v="CAT-1"/>
    <s v="EXPORTACION"/>
    <s v="50"/>
    <n v="60"/>
    <n v="900"/>
    <s v="MAYO"/>
    <x v="0"/>
  </r>
  <r>
    <s v="2025-2026"/>
    <n v="20402"/>
    <x v="1"/>
    <d v="2026-05-22T00:00:00"/>
    <s v="ALMAHUE EXPORT SPA"/>
    <n v="5"/>
    <s v="ALM SERVICES SPA"/>
    <s v="Z120030926"/>
    <s v="Z120030926"/>
    <s v="2026-05-22 10:20:00"/>
    <s v="119278"/>
    <s v="AGRICOLA LOS MOSTOS SPA"/>
    <n v="23"/>
    <s v="NARANJAS"/>
    <s v="OC15OT10"/>
    <s v="CANADA"/>
    <s v="CHAMONATE SPA"/>
    <n v="15"/>
    <s v="CAT-1"/>
    <s v="CAT-1"/>
    <s v="EXPORTACION"/>
    <s v="50"/>
    <n v="60"/>
    <n v="900"/>
    <s v="MAYO"/>
    <x v="0"/>
  </r>
  <r>
    <s v="2025-2026"/>
    <n v="20403"/>
    <x v="1"/>
    <d v="2026-05-22T00:00:00"/>
    <s v="ALMAHUE EXPORT SPA"/>
    <n v="5"/>
    <s v="ALM SERVICES SPA"/>
    <s v="Z120030929"/>
    <s v="Z120030929"/>
    <s v="2026-05-22 10:20:00"/>
    <s v="119278"/>
    <s v="AGRICOLA LOS MOSTOS SPA"/>
    <n v="23"/>
    <s v="NARANJAS"/>
    <s v="OC15OT10"/>
    <s v="CANADA"/>
    <s v="CHAMONATE SPA"/>
    <n v="15"/>
    <s v="CAT-1"/>
    <s v="CAT-1"/>
    <s v="EXPORTACION"/>
    <s v="40"/>
    <n v="60"/>
    <n v="900"/>
    <s v="MAYO"/>
    <x v="0"/>
  </r>
  <r>
    <s v="2025-2026"/>
    <n v="20404"/>
    <x v="1"/>
    <d v="2026-05-22T00:00:00"/>
    <s v="ALMAHUE EXPORT SPA"/>
    <n v="5"/>
    <s v="ALM SERVICES SPA"/>
    <s v="Z120030932"/>
    <s v="Z120030932"/>
    <s v="2026-05-22 10:20:00"/>
    <s v="119278"/>
    <s v="AGRICOLA LOS MOSTOS SPA"/>
    <n v="23"/>
    <s v="NARANJAS"/>
    <s v="OC15OT10"/>
    <s v="CANADA"/>
    <s v="CHAMONATE SPA"/>
    <n v="15"/>
    <s v="CAT-1"/>
    <s v="CAT-1"/>
    <s v="EXPORTACION"/>
    <s v="50"/>
    <n v="60"/>
    <n v="900"/>
    <s v="MAYO"/>
    <x v="0"/>
  </r>
  <r>
    <s v="2025-2026"/>
    <n v="20405"/>
    <x v="1"/>
    <d v="2026-05-22T00:00:00"/>
    <s v="ALMAHUE EXPORT SPA"/>
    <n v="5"/>
    <s v="ALM SERVICES SPA"/>
    <s v="Z120030934"/>
    <s v="Z120030934"/>
    <s v="2026-05-22 10:20:00"/>
    <s v="119278"/>
    <s v="AGRICOLA LOS MOSTOS SPA"/>
    <n v="23"/>
    <s v="NARANJAS"/>
    <s v="OC15OT10"/>
    <s v="CANADA"/>
    <s v="CHAMONATE SPA"/>
    <n v="15"/>
    <s v="CAT-1"/>
    <s v="CAT-1"/>
    <s v="EXPORTACION"/>
    <s v="50"/>
    <n v="60"/>
    <n v="900"/>
    <s v="MAYO"/>
    <x v="0"/>
  </r>
  <r>
    <s v="2025-2026"/>
    <n v="20406"/>
    <x v="1"/>
    <d v="2026-05-22T00:00:00"/>
    <s v="ALMAHUE EXPORT SPA"/>
    <n v="5"/>
    <s v="ALM SERVICES SPA"/>
    <s v="Z120030937"/>
    <s v="Z120030937"/>
    <s v="2026-05-22 10:20:00"/>
    <s v="119278"/>
    <s v="AGRICOLA LOS MOSTOS SPA"/>
    <n v="23"/>
    <s v="NARANJAS"/>
    <s v="OC15OT10"/>
    <s v="CANADA"/>
    <s v="CHAMONATE SPA"/>
    <n v="15"/>
    <s v="CAT-1"/>
    <s v="CAT-1"/>
    <s v="EXPORTACION"/>
    <s v="40"/>
    <n v="60"/>
    <n v="900"/>
    <s v="MAYO"/>
    <x v="0"/>
  </r>
  <r>
    <s v="2025-2026"/>
    <n v="20407"/>
    <x v="1"/>
    <d v="2026-05-22T00:00:00"/>
    <s v="ALMAHUE EXPORT SPA"/>
    <n v="5"/>
    <s v="ALM SERVICES SPA"/>
    <s v="Z120030938"/>
    <s v="Z120030938"/>
    <s v="2026-05-22 10:20:00"/>
    <s v="119278"/>
    <s v="AGRICOLA LOS MOSTOS SPA"/>
    <n v="23"/>
    <s v="NARANJAS"/>
    <s v="OC15OT10"/>
    <s v="CANADA"/>
    <s v="CHAMONATE SPA"/>
    <n v="15"/>
    <s v="CAT-1"/>
    <s v="CAT-1"/>
    <s v="EXPORTACION"/>
    <s v="50"/>
    <n v="60"/>
    <n v="900"/>
    <s v="MAYO"/>
    <x v="0"/>
  </r>
  <r>
    <s v="2025-2026"/>
    <n v="20408"/>
    <x v="1"/>
    <d v="2026-05-22T00:00:00"/>
    <s v="ALMAHUE EXPORT SPA"/>
    <n v="5"/>
    <s v="ALM SERVICES SPA"/>
    <s v="Z120030939"/>
    <s v="Z120030939"/>
    <s v="2026-05-22 10:20:00"/>
    <s v="119278"/>
    <s v="AGRICOLA LOS MOSTOS SPA"/>
    <n v="23"/>
    <s v="NARANJAS"/>
    <s v="OC15OT10"/>
    <s v="CANADA"/>
    <s v="CHAMONATE SPA"/>
    <n v="15"/>
    <s v="CAT-1"/>
    <s v="CAT-1"/>
    <s v="EXPORTACION"/>
    <s v="40"/>
    <n v="60"/>
    <n v="900"/>
    <s v="MAYO"/>
    <x v="0"/>
  </r>
  <r>
    <s v="2025-2026"/>
    <n v="20409"/>
    <x v="1"/>
    <d v="2026-05-22T00:00:00"/>
    <s v="ALMAHUE EXPORT SPA"/>
    <n v="5"/>
    <s v="ALM SERVICES SPA"/>
    <s v="Z120030941"/>
    <s v="Z120030941"/>
    <s v="2026-05-22 10:20:00"/>
    <s v="119278"/>
    <s v="AGRICOLA LOS MOSTOS SPA"/>
    <n v="23"/>
    <s v="NARANJAS"/>
    <s v="OC15OT10"/>
    <s v="CANADA"/>
    <s v="CHAMONATE SPA"/>
    <n v="15"/>
    <s v="CAT-1"/>
    <s v="CAT-1"/>
    <s v="EXPORTACION"/>
    <s v="50"/>
    <n v="60"/>
    <n v="900"/>
    <s v="MAYO"/>
    <x v="0"/>
  </r>
  <r>
    <s v="2025-2026"/>
    <n v="20410"/>
    <x v="1"/>
    <d v="2026-05-22T00:00:00"/>
    <s v="ALMAHUE EXPORT SPA"/>
    <n v="5"/>
    <s v="ALM SERVICES SPA"/>
    <s v="Z120030946"/>
    <s v="Z120030946"/>
    <s v="2026-05-22 10:20:00"/>
    <s v="119278"/>
    <s v="AGRICOLA LOS MOSTOS SPA"/>
    <n v="23"/>
    <s v="NARANJAS"/>
    <s v="OC15OT10"/>
    <s v="CANADA"/>
    <s v="CHAMONATE SPA"/>
    <n v="15"/>
    <s v="CAT-1"/>
    <s v="CAT-1"/>
    <s v="EXPORTACION"/>
    <s v="40"/>
    <n v="45"/>
    <n v="675"/>
    <s v="MAYO"/>
    <x v="0"/>
  </r>
  <r>
    <s v="2025-2026"/>
    <n v="20411"/>
    <x v="1"/>
    <d v="2026-05-22T00:00:00"/>
    <s v="ALMAHUE EXPORT SPA"/>
    <n v="5"/>
    <s v="ALM SERVICES SPA"/>
    <s v="Z120030946"/>
    <s v="Z120030946"/>
    <s v="2026-05-22 10:20:00"/>
    <s v="119278"/>
    <s v="AGRICOLA LOS MOSTOS SPA"/>
    <n v="23"/>
    <s v="NARANJAS"/>
    <s v="OC15OT10"/>
    <s v="CANADA"/>
    <s v="CHAMONATE SPA"/>
    <n v="15"/>
    <s v="CAT-1"/>
    <s v="CAT-1"/>
    <s v="EXPORTACION"/>
    <s v="40"/>
    <n v="15"/>
    <n v="225"/>
    <s v="MAYO"/>
    <x v="0"/>
  </r>
  <r>
    <s v="2025-2026"/>
    <n v="20412"/>
    <x v="1"/>
    <d v="2026-05-22T00:00:00"/>
    <s v="ALMAHUE EXPORT SPA"/>
    <n v="5"/>
    <s v="ALM SERVICES SPA"/>
    <s v="Z120030953"/>
    <s v="Z120030953"/>
    <s v="2026-05-22 10:20:00"/>
    <s v="119278"/>
    <s v="AGRICOLA LOS MOSTOS SPA"/>
    <n v="23"/>
    <s v="NARANJAS"/>
    <s v="OC15OT10"/>
    <s v="CANADA"/>
    <s v="CHAMONATE SPA"/>
    <n v="15"/>
    <s v="CAT-1"/>
    <s v="CAT-1"/>
    <s v="EXPORTACION"/>
    <s v="50"/>
    <n v="60"/>
    <n v="900"/>
    <s v="MAYO"/>
    <x v="0"/>
  </r>
  <r>
    <s v="2025-2026"/>
    <n v="20413"/>
    <x v="1"/>
    <d v="2026-05-22T00:00:00"/>
    <s v="ALMAHUE EXPORT SPA"/>
    <n v="5"/>
    <s v="ALM SERVICES SPA"/>
    <s v="Z120030954"/>
    <s v="Z120030954"/>
    <s v="2026-05-22 10:20:00"/>
    <s v="119278"/>
    <s v="AGRICOLA LOS MOSTOS SPA"/>
    <n v="23"/>
    <s v="NARANJAS"/>
    <s v="OC15OT10"/>
    <s v="CANADA"/>
    <s v="CHAMONATE SPA"/>
    <n v="15"/>
    <s v="CAT-1"/>
    <s v="CAT-1"/>
    <s v="EXPORTACION"/>
    <s v="40"/>
    <n v="60"/>
    <n v="900"/>
    <s v="MAYO"/>
    <x v="0"/>
  </r>
  <r>
    <s v="2025-2026"/>
    <n v="20414"/>
    <x v="1"/>
    <d v="2026-05-22T00:00:00"/>
    <s v="ALMAHUE EXPORT SPA"/>
    <n v="5"/>
    <s v="ALM SERVICES SPA"/>
    <s v="Z120030956"/>
    <s v="Z120030956"/>
    <s v="2026-05-22 10:20:00"/>
    <s v="119278"/>
    <s v="AGRICOLA LOS MOSTOS SPA"/>
    <n v="23"/>
    <s v="NARANJAS"/>
    <s v="OC15OT10"/>
    <s v="CANADA"/>
    <s v="CHAMONATE SPA"/>
    <n v="15"/>
    <s v="CAT-1"/>
    <s v="CAT-1"/>
    <s v="EXPORTACION"/>
    <s v="50"/>
    <n v="60"/>
    <n v="900"/>
    <s v="MAYO"/>
    <x v="0"/>
  </r>
  <r>
    <s v="2025-2026"/>
    <n v="20415"/>
    <x v="1"/>
    <d v="2026-05-22T00:00:00"/>
    <s v="ALMAHUE EXPORT SPA"/>
    <n v="5"/>
    <s v="ALM SERVICES SPA"/>
    <s v="Z120030957"/>
    <s v="Z120030957"/>
    <s v="2026-05-22 10:20:00"/>
    <s v="119278"/>
    <s v="AGRICOLA LOS MOSTOS SPA"/>
    <n v="23"/>
    <s v="NARANJAS"/>
    <s v="OC15OT10"/>
    <s v="CANADA"/>
    <s v="CHAMONATE SPA"/>
    <n v="15"/>
    <s v="CAT-1"/>
    <s v="CAT-1"/>
    <s v="EXPORTACION"/>
    <s v="50"/>
    <n v="60"/>
    <n v="900"/>
    <s v="MAYO"/>
    <x v="0"/>
  </r>
  <r>
    <s v="2025-2026"/>
    <n v="20416"/>
    <x v="1"/>
    <d v="2026-05-22T00:00:00"/>
    <s v="ALMAHUE EXPORT SPA"/>
    <n v="5"/>
    <s v="ALM SERVICES SPA"/>
    <s v="Z120030961"/>
    <s v="Z120030961"/>
    <s v="2026-05-22 10:20:00"/>
    <s v="119278"/>
    <s v="AGRICOLA LOS MOSTOS SPA"/>
    <n v="23"/>
    <s v="NARANJAS"/>
    <s v="OC15OT10"/>
    <s v="CANADA"/>
    <s v="CHAMONATE SPA"/>
    <n v="15"/>
    <s v="CAT-1"/>
    <s v="CAT-1"/>
    <s v="EXPORTACION"/>
    <s v="50"/>
    <n v="60"/>
    <n v="900"/>
    <s v="MAYO"/>
    <x v="0"/>
  </r>
  <r>
    <s v="2025-2026"/>
    <n v="20417"/>
    <x v="1"/>
    <d v="2026-05-22T00:00:00"/>
    <s v="ALMAHUE EXPORT SPA"/>
    <n v="5"/>
    <s v="ALM SERVICES SPA"/>
    <s v="Z120030964"/>
    <s v="Z120030964"/>
    <s v="2026-05-22 10:20:00"/>
    <s v="119278"/>
    <s v="AGRICOLA LOS MOSTOS SPA"/>
    <n v="23"/>
    <s v="NARANJAS"/>
    <s v="OC15OT10"/>
    <s v="CANADA"/>
    <s v="CHAMONATE SPA"/>
    <n v="15"/>
    <s v="CAT-1"/>
    <s v="CAT-1"/>
    <s v="EXPORTACION"/>
    <s v="40"/>
    <n v="60"/>
    <n v="900"/>
    <s v="MAYO"/>
    <x v="0"/>
  </r>
  <r>
    <s v="2025-2026"/>
    <n v="20418"/>
    <x v="2"/>
    <d v="2026-05-25T00:00:00"/>
    <s v="ALMAHUE EXPORT SPA"/>
    <n v="5"/>
    <s v="ALM SERVICES SPA"/>
    <s v="120030930"/>
    <s v="120030930"/>
    <s v="2026-05-25 12:10:00"/>
    <s v="119278"/>
    <s v="AGRICOLA LOS MOSTOS SPA"/>
    <n v="23"/>
    <s v="NARANJAS"/>
    <s v="OC15G02"/>
    <s v="GRANEL"/>
    <s v="AGRICOLA Y PACKING CACHAPOAL S.A"/>
    <n v="15"/>
    <s v="CAT-1"/>
    <s v="CAT-1"/>
    <s v="EXPORTACION"/>
    <s v="70"/>
    <n v="80"/>
    <n v="1200"/>
    <s v="MAYO"/>
    <x v="0"/>
  </r>
  <r>
    <s v="2025-2026"/>
    <n v="20419"/>
    <x v="2"/>
    <d v="2026-05-25T00:00:00"/>
    <s v="ALMAHUE EXPORT SPA"/>
    <n v="5"/>
    <s v="ALM SERVICES SPA"/>
    <s v="120030931"/>
    <s v="120030931"/>
    <s v="2026-05-25 12:10:00"/>
    <s v="119278"/>
    <s v="AGRICOLA LOS MOSTOS SPA"/>
    <n v="23"/>
    <s v="NARANJAS"/>
    <s v="OC15G02"/>
    <s v="GRANEL"/>
    <s v="AGRICOLA Y PACKING CACHAPOAL S.A"/>
    <n v="15"/>
    <s v="CAT-1"/>
    <s v="CAT-1"/>
    <s v="EXPORTACION"/>
    <s v="80"/>
    <n v="80"/>
    <n v="1200"/>
    <s v="MAYO"/>
    <x v="0"/>
  </r>
  <r>
    <s v="2025-2026"/>
    <n v="20420"/>
    <x v="2"/>
    <d v="2026-05-25T00:00:00"/>
    <s v="ALMAHUE EXPORT SPA"/>
    <n v="5"/>
    <s v="ALM SERVICES SPA"/>
    <s v="120030935"/>
    <s v="120030935"/>
    <s v="2026-05-25 12:10:00"/>
    <s v="119278"/>
    <s v="AGRICOLA LOS MOSTOS SPA"/>
    <n v="23"/>
    <s v="NARANJAS"/>
    <s v="OC15G02"/>
    <s v="GRANEL"/>
    <s v="AGRICOLA Y PACKING CACHAPOAL S.A"/>
    <n v="15"/>
    <s v="CAT-1"/>
    <s v="CAT-1"/>
    <s v="EXPORTACION"/>
    <s v="70"/>
    <n v="80"/>
    <n v="1200"/>
    <s v="MAYO"/>
    <x v="0"/>
  </r>
  <r>
    <s v="2025-2026"/>
    <n v="20421"/>
    <x v="2"/>
    <d v="2026-05-25T00:00:00"/>
    <s v="ALMAHUE EXPORT SPA"/>
    <n v="5"/>
    <s v="ALM SERVICES SPA"/>
    <s v="120030940"/>
    <s v="120030940"/>
    <s v="2026-05-25 12:10:00"/>
    <s v="119278"/>
    <s v="AGRICOLA LOS MOSTOS SPA"/>
    <n v="23"/>
    <s v="NARANJAS"/>
    <s v="OC15G02"/>
    <s v="GRANEL"/>
    <s v="AGRICOLA Y PACKING CACHAPOAL S.A"/>
    <n v="15"/>
    <s v="CAT-1"/>
    <s v="CAT-1"/>
    <s v="EXPORTACION"/>
    <s v="80"/>
    <n v="80"/>
    <n v="1200"/>
    <s v="MAYO"/>
    <x v="0"/>
  </r>
  <r>
    <s v="2025-2026"/>
    <n v="20422"/>
    <x v="2"/>
    <d v="2026-05-25T00:00:00"/>
    <s v="ALMAHUE EXPORT SPA"/>
    <n v="5"/>
    <s v="ALM SERVICES SPA"/>
    <s v="120030947"/>
    <s v="120030947"/>
    <s v="2026-05-25 12:10:00"/>
    <s v="119278"/>
    <s v="AGRICOLA LOS MOSTOS SPA"/>
    <n v="23"/>
    <s v="NARANJAS"/>
    <s v="OC15G02"/>
    <s v="GRANEL"/>
    <s v="AGRICOLA Y PACKING CACHAPOAL S.A"/>
    <n v="15"/>
    <s v="CAT-1"/>
    <s v="CAT-1"/>
    <s v="EXPORTACION"/>
    <s v="40"/>
    <n v="27"/>
    <n v="405"/>
    <s v="MAYO"/>
    <x v="0"/>
  </r>
  <r>
    <s v="2025-2026"/>
    <n v="20423"/>
    <x v="2"/>
    <d v="2026-05-25T00:00:00"/>
    <s v="ALMAHUE EXPORT SPA"/>
    <n v="5"/>
    <s v="ALM SERVICES SPA"/>
    <s v="120030947"/>
    <s v="120030947"/>
    <s v="2026-05-25 12:10:00"/>
    <s v="119278"/>
    <s v="AGRICOLA LOS MOSTOS SPA"/>
    <n v="23"/>
    <s v="NARANJAS"/>
    <s v="OC15G02"/>
    <s v="GRANEL"/>
    <s v="AGRICOLA Y PACKING CACHAPOAL S.A"/>
    <n v="15"/>
    <s v="CAT-1"/>
    <s v="CAT-1"/>
    <s v="EXPORTACION"/>
    <s v="40"/>
    <n v="53"/>
    <n v="795"/>
    <s v="MAYO"/>
    <x v="0"/>
  </r>
  <r>
    <s v="2025-2026"/>
    <n v="20424"/>
    <x v="2"/>
    <d v="2026-05-25T00:00:00"/>
    <s v="ALMAHUE EXPORT SPA"/>
    <n v="5"/>
    <s v="ALM SERVICES SPA"/>
    <s v="120030948"/>
    <s v="120030948"/>
    <s v="2026-05-25 12:10:00"/>
    <s v="119278"/>
    <s v="AGRICOLA LOS MOSTOS SPA"/>
    <n v="23"/>
    <s v="NARANJAS"/>
    <s v="OC15G02"/>
    <s v="GRANEL"/>
    <s v="AGRICOLA Y PACKING CACHAPOAL S.A"/>
    <n v="15"/>
    <s v="CAT-1"/>
    <s v="CAT-1"/>
    <s v="EXPORTACION"/>
    <s v="50"/>
    <n v="72"/>
    <n v="1080"/>
    <s v="MAYO"/>
    <x v="0"/>
  </r>
  <r>
    <s v="2025-2026"/>
    <n v="20425"/>
    <x v="2"/>
    <d v="2026-05-25T00:00:00"/>
    <s v="ALMAHUE EXPORT SPA"/>
    <n v="5"/>
    <s v="ALM SERVICES SPA"/>
    <s v="120030948"/>
    <s v="120030948"/>
    <s v="2026-05-25 12:10:00"/>
    <s v="119278"/>
    <s v="AGRICOLA LOS MOSTOS SPA"/>
    <n v="23"/>
    <s v="NARANJAS"/>
    <s v="OC15G02"/>
    <s v="GRANEL"/>
    <s v="AGRICOLA Y PACKING CACHAPOAL S.A"/>
    <n v="15"/>
    <s v="CAT-1"/>
    <s v="CAT-1"/>
    <s v="EXPORTACION"/>
    <s v="50"/>
    <n v="8"/>
    <n v="120"/>
    <s v="MAYO"/>
    <x v="0"/>
  </r>
  <r>
    <s v="2025-2026"/>
    <n v="20426"/>
    <x v="2"/>
    <d v="2026-05-25T00:00:00"/>
    <s v="ALMAHUE EXPORT SPA"/>
    <n v="5"/>
    <s v="ALM SERVICES SPA"/>
    <s v="120030950"/>
    <s v="120030950"/>
    <s v="2026-05-25 12:10:00"/>
    <s v="119278"/>
    <s v="AGRICOLA LOS MOSTOS SPA"/>
    <n v="23"/>
    <s v="NARANJAS"/>
    <s v="OC15G02"/>
    <s v="GRANEL"/>
    <s v="AGRICOLA Y PACKING CACHAPOAL S.A"/>
    <n v="15"/>
    <s v="CAT-1"/>
    <s v="CAT-1"/>
    <s v="EXPORTACION"/>
    <s v="70"/>
    <n v="17"/>
    <n v="255"/>
    <s v="MAYO"/>
    <x v="0"/>
  </r>
  <r>
    <s v="2025-2026"/>
    <n v="20427"/>
    <x v="2"/>
    <d v="2026-05-25T00:00:00"/>
    <s v="ALMAHUE EXPORT SPA"/>
    <n v="5"/>
    <s v="ALM SERVICES SPA"/>
    <s v="120030950"/>
    <s v="120030950"/>
    <s v="2026-05-25 12:10:00"/>
    <s v="119278"/>
    <s v="AGRICOLA LOS MOSTOS SPA"/>
    <n v="23"/>
    <s v="NARANJAS"/>
    <s v="OC15G02"/>
    <s v="GRANEL"/>
    <s v="AGRICOLA Y PACKING CACHAPOAL S.A"/>
    <n v="15"/>
    <s v="CAT-1"/>
    <s v="CAT-1"/>
    <s v="EXPORTACION"/>
    <s v="70"/>
    <n v="63"/>
    <n v="945"/>
    <s v="MAYO"/>
    <x v="0"/>
  </r>
  <r>
    <s v="2025-2026"/>
    <n v="20428"/>
    <x v="2"/>
    <d v="2026-05-25T00:00:00"/>
    <s v="ALMAHUE EXPORT SPA"/>
    <n v="5"/>
    <s v="ALM SERVICES SPA"/>
    <s v="120030951"/>
    <s v="120030951"/>
    <s v="2026-05-25 12:10:00"/>
    <s v="119278"/>
    <s v="AGRICOLA LOS MOSTOS SPA"/>
    <n v="23"/>
    <s v="NARANJAS"/>
    <s v="OC15G02"/>
    <s v="GRANEL"/>
    <s v="AGRICOLA Y PACKING CACHAPOAL S.A"/>
    <n v="15"/>
    <s v="CAT-1"/>
    <s v="CAT-1"/>
    <s v="EXPORTACION"/>
    <s v="80"/>
    <n v="18"/>
    <n v="270"/>
    <s v="MAYO"/>
    <x v="0"/>
  </r>
  <r>
    <s v="2025-2026"/>
    <n v="20429"/>
    <x v="2"/>
    <d v="2026-05-25T00:00:00"/>
    <s v="ALMAHUE EXPORT SPA"/>
    <n v="5"/>
    <s v="ALM SERVICES SPA"/>
    <s v="120030951"/>
    <s v="120030951"/>
    <s v="2026-05-25 12:10:00"/>
    <s v="119278"/>
    <s v="AGRICOLA LOS MOSTOS SPA"/>
    <n v="23"/>
    <s v="NARANJAS"/>
    <s v="OC15G02"/>
    <s v="GRANEL"/>
    <s v="AGRICOLA Y PACKING CACHAPOAL S.A"/>
    <n v="15"/>
    <s v="CAT-1"/>
    <s v="CAT-1"/>
    <s v="EXPORTACION"/>
    <s v="80"/>
    <n v="62"/>
    <n v="930"/>
    <s v="MAYO"/>
    <x v="0"/>
  </r>
  <r>
    <s v="2025-2026"/>
    <n v="20430"/>
    <x v="2"/>
    <d v="2026-05-25T00:00:00"/>
    <s v="ALMAHUE EXPORT SPA"/>
    <n v="5"/>
    <s v="ALM SERVICES SPA"/>
    <s v="120030960"/>
    <s v="120030960"/>
    <s v="2026-05-25 12:10:00"/>
    <s v="119278"/>
    <s v="AGRICOLA LOS MOSTOS SPA"/>
    <n v="23"/>
    <s v="NARANJAS"/>
    <s v="OC15G02"/>
    <s v="GRANEL"/>
    <s v="AGRICOLA Y PACKING CACHAPOAL S.A"/>
    <n v="15"/>
    <s v="CAT-1"/>
    <s v="CAT-1"/>
    <s v="EXPORTACION"/>
    <s v="80"/>
    <n v="80"/>
    <n v="1200"/>
    <s v="MAYO"/>
    <x v="0"/>
  </r>
  <r>
    <s v="2025-2026"/>
    <n v="20431"/>
    <x v="2"/>
    <d v="2026-05-25T00:00:00"/>
    <s v="ALMAHUE EXPORT SPA"/>
    <n v="5"/>
    <s v="ALM SERVICES SPA"/>
    <s v="120030962"/>
    <s v="120030962"/>
    <s v="2026-05-25 12:10:00"/>
    <s v="119278"/>
    <s v="AGRICOLA LOS MOSTOS SPA"/>
    <n v="23"/>
    <s v="NARANJAS"/>
    <s v="OC15G02"/>
    <s v="GRANEL"/>
    <s v="AGRICOLA Y PACKING CACHAPOAL S.A"/>
    <n v="15"/>
    <s v="CAT-1"/>
    <s v="CAT-1"/>
    <s v="EXPORTACION"/>
    <s v="70"/>
    <n v="80"/>
    <n v="1200"/>
    <s v="MAYO"/>
    <x v="0"/>
  </r>
  <r>
    <s v="2025-2026"/>
    <n v="20432"/>
    <x v="2"/>
    <d v="2026-05-25T00:00:00"/>
    <s v="ALMAHUE EXPORT SPA"/>
    <n v="5"/>
    <s v="ALM SERVICES SPA"/>
    <s v="120030965"/>
    <s v="120030965"/>
    <s v="2026-05-25 12:10:00"/>
    <s v="119278"/>
    <s v="AGRICOLA LOS MOSTOS SPA"/>
    <n v="23"/>
    <s v="NARANJAS"/>
    <s v="OC15G02"/>
    <s v="GRANEL"/>
    <s v="AGRICOLA Y PACKING CACHAPOAL S.A"/>
    <n v="15"/>
    <s v="CAT-1"/>
    <s v="CAT-1"/>
    <s v="EXPORTACION"/>
    <s v="50"/>
    <n v="80"/>
    <n v="1200"/>
    <s v="MAYO"/>
    <x v="0"/>
  </r>
  <r>
    <s v="2025-2026"/>
    <n v="20433"/>
    <x v="2"/>
    <d v="2026-05-25T00:00:00"/>
    <s v="ALMAHUE EXPORT SPA"/>
    <n v="5"/>
    <s v="ALM SERVICES SPA"/>
    <s v="120030966"/>
    <s v="120030966"/>
    <s v="2026-05-25 12:10:00"/>
    <s v="119278"/>
    <s v="AGRICOLA LOS MOSTOS SPA"/>
    <n v="23"/>
    <s v="NARANJAS"/>
    <s v="OC15G02"/>
    <s v="GRANEL"/>
    <s v="AGRICOLA Y PACKING CACHAPOAL S.A"/>
    <n v="15"/>
    <s v="CAT-1"/>
    <s v="CAT-1"/>
    <s v="EXPORTACION"/>
    <s v="70"/>
    <n v="80"/>
    <n v="1200"/>
    <s v="MAYO"/>
    <x v="0"/>
  </r>
  <r>
    <s v="2025-2026"/>
    <n v="20434"/>
    <x v="2"/>
    <d v="2026-05-25T00:00:00"/>
    <s v="ALMAHUE EXPORT SPA"/>
    <n v="5"/>
    <s v="ALM SERVICES SPA"/>
    <s v="120030969"/>
    <s v="120030969"/>
    <s v="2026-05-25 12:10:00"/>
    <s v="119278"/>
    <s v="AGRICOLA LOS MOSTOS SPA"/>
    <n v="23"/>
    <s v="NARANJAS"/>
    <s v="OC15G02"/>
    <s v="GRANEL"/>
    <s v="AGRICOLA Y PACKING CACHAPOAL S.A"/>
    <n v="15"/>
    <s v="CAT-1"/>
    <s v="CAT-1"/>
    <s v="EXPORTACION"/>
    <s v="50"/>
    <n v="80"/>
    <n v="1200"/>
    <s v="MAYO"/>
    <x v="0"/>
  </r>
  <r>
    <s v="2025-2026"/>
    <n v="20435"/>
    <x v="2"/>
    <d v="2026-05-25T00:00:00"/>
    <s v="ALMAHUE EXPORT SPA"/>
    <n v="5"/>
    <s v="ALM SERVICES SPA"/>
    <s v="120030972"/>
    <s v="120030972"/>
    <s v="2026-05-25 12:10:00"/>
    <s v="119278"/>
    <s v="AGRICOLA LOS MOSTOS SPA"/>
    <n v="23"/>
    <s v="NARANJAS"/>
    <s v="OC15G02"/>
    <s v="GRANEL"/>
    <s v="AGRICOLA Y PACKING CACHAPOAL S.A"/>
    <n v="15"/>
    <s v="CAT-1"/>
    <s v="CAT-1"/>
    <s v="EXPORTACION"/>
    <s v="70"/>
    <n v="80"/>
    <n v="1200"/>
    <s v="MAYO"/>
    <x v="0"/>
  </r>
  <r>
    <s v="2025-2026"/>
    <n v="20436"/>
    <x v="2"/>
    <d v="2026-05-25T00:00:00"/>
    <s v="ALMAHUE EXPORT SPA"/>
    <n v="5"/>
    <s v="ALM SERVICES SPA"/>
    <s v="120030973"/>
    <s v="120030973"/>
    <s v="2026-05-25 12:10:00"/>
    <s v="119278"/>
    <s v="AGRICOLA LOS MOSTOS SPA"/>
    <n v="23"/>
    <s v="NARANJAS"/>
    <s v="OC15G02"/>
    <s v="GRANEL"/>
    <s v="AGRICOLA Y PACKING CACHAPOAL S.A"/>
    <n v="15"/>
    <s v="CAT-1"/>
    <s v="CAT-1"/>
    <s v="EXPORTACION"/>
    <s v="80"/>
    <n v="80"/>
    <n v="1200"/>
    <s v="MAYO"/>
    <x v="0"/>
  </r>
  <r>
    <s v="2025-2026"/>
    <n v="20437"/>
    <x v="2"/>
    <d v="2026-05-25T00:00:00"/>
    <s v="ALMAHUE EXPORT SPA"/>
    <n v="5"/>
    <s v="ALM SERVICES SPA"/>
    <s v="120030977"/>
    <s v="120030977"/>
    <s v="2026-05-25 12:10:00"/>
    <s v="119278"/>
    <s v="AGRICOLA LOS MOSTOS SPA"/>
    <n v="23"/>
    <s v="NARANJAS"/>
    <s v="OC15G02"/>
    <s v="GRANEL"/>
    <s v="AGRICOLA Y PACKING CACHAPOAL S.A"/>
    <n v="15"/>
    <s v="CAT-1"/>
    <s v="CAT-1"/>
    <s v="EXPORTACION"/>
    <s v="80"/>
    <n v="80"/>
    <n v="1200"/>
    <s v="MAYO"/>
    <x v="0"/>
  </r>
  <r>
    <s v="2025-2026"/>
    <n v="20438"/>
    <x v="2"/>
    <d v="2026-05-25T00:00:00"/>
    <s v="ALMAHUE EXPORT SPA"/>
    <n v="5"/>
    <s v="ALM SERVICES SPA"/>
    <s v="120030978"/>
    <s v="120030978"/>
    <s v="2026-05-25 12:10:00"/>
    <s v="119278"/>
    <s v="AGRICOLA LOS MOSTOS SPA"/>
    <n v="23"/>
    <s v="NARANJAS"/>
    <s v="OC15G02"/>
    <s v="GRANEL"/>
    <s v="AGRICOLA Y PACKING CACHAPOAL S.A"/>
    <n v="15"/>
    <s v="CAT-1"/>
    <s v="CAT-1"/>
    <s v="EXPORTACION"/>
    <s v="40"/>
    <n v="80"/>
    <n v="1200"/>
    <s v="MAYO"/>
    <x v="0"/>
  </r>
  <r>
    <s v="2025-2026"/>
    <n v="20439"/>
    <x v="2"/>
    <d v="2026-05-25T00:00:00"/>
    <s v="ALMAHUE EXPORT SPA"/>
    <n v="5"/>
    <s v="ALM SERVICES SPA"/>
    <s v="120030979"/>
    <s v="120030979"/>
    <s v="2026-05-25 12:10:00"/>
    <s v="119278"/>
    <s v="AGRICOLA LOS MOSTOS SPA"/>
    <n v="23"/>
    <s v="NARANJAS"/>
    <s v="OC15G02"/>
    <s v="GRANEL"/>
    <s v="AGRICOLA Y PACKING CACHAPOAL S.A"/>
    <n v="15"/>
    <s v="CAT-1"/>
    <s v="CAT-1"/>
    <s v="EXPORTACION"/>
    <s v="50"/>
    <n v="80"/>
    <n v="1200"/>
    <s v="MAYO"/>
    <x v="0"/>
  </r>
  <r>
    <s v="2025-2026"/>
    <n v="20440"/>
    <x v="2"/>
    <d v="2026-05-25T00:00:00"/>
    <s v="ALMAHUE EXPORT SPA"/>
    <n v="5"/>
    <s v="ALM SERVICES SPA"/>
    <s v="120030987"/>
    <s v="120030987"/>
    <s v="2026-05-25 12:10:00"/>
    <s v="119278"/>
    <s v="AGRICOLA LOS MOSTOS SPA"/>
    <n v="23"/>
    <s v="NARANJAS"/>
    <s v="OC15G02"/>
    <s v="GRANEL"/>
    <s v="AGRICOLA Y PACKING CACHAPOAL S.A"/>
    <n v="15"/>
    <s v="CAT-1"/>
    <s v="CAT-1"/>
    <s v="EXPORTACION"/>
    <s v="50"/>
    <n v="80"/>
    <n v="1200"/>
    <s v="MAYO"/>
    <x v="0"/>
  </r>
  <r>
    <s v="2025-2026"/>
    <n v="20441"/>
    <x v="2"/>
    <d v="2026-05-25T00:00:00"/>
    <s v="ALMAHUE EXPORT SPA"/>
    <n v="5"/>
    <s v="ALM SERVICES SPA"/>
    <s v="120030991"/>
    <s v="120030991"/>
    <s v="2026-05-25 12:10:00"/>
    <s v="119278"/>
    <s v="AGRICOLA LOS MOSTOS SPA"/>
    <n v="23"/>
    <s v="NARANJAS"/>
    <s v="OC15G02"/>
    <s v="GRANEL"/>
    <s v="AGRICOLA Y PACKING CACHAPOAL S.A"/>
    <n v="15"/>
    <s v="CAT-1"/>
    <s v="CAT-1"/>
    <s v="EXPORTACION"/>
    <s v="50"/>
    <n v="80"/>
    <n v="1200"/>
    <s v="MAYO"/>
    <x v="0"/>
  </r>
  <r>
    <s v="2025-2026"/>
    <n v="20514"/>
    <x v="3"/>
    <d v="2026-05-27T00:00:00"/>
    <s v="ALMAHUE EXPORT SPA"/>
    <n v="5"/>
    <s v="ALM SERVICES SPA"/>
    <s v="Z120028178"/>
    <s v="Z120028178"/>
    <s v="2026-05-27 11:00:00"/>
    <s v="119278"/>
    <s v="AGRICOLA LOS MOSTOS SPA"/>
    <n v="23"/>
    <s v="NARANJAS"/>
    <s v="OC15G02"/>
    <s v="GRANEL"/>
    <s v="CHAMONATE SPA"/>
    <n v="15"/>
    <s v="CAT-1"/>
    <s v="CAT-1"/>
    <s v="EXPORTACION"/>
    <s v="110"/>
    <n v="80"/>
    <n v="1200"/>
    <s v="MAYO"/>
    <x v="0"/>
  </r>
  <r>
    <s v="2025-2026"/>
    <n v="20515"/>
    <x v="3"/>
    <d v="2026-05-27T00:00:00"/>
    <s v="ALMAHUE EXPORT SPA"/>
    <n v="5"/>
    <s v="ALM SERVICES SPA"/>
    <s v="Z120028180"/>
    <s v="Z120028180"/>
    <s v="2026-05-27 11:00:00"/>
    <s v="119278"/>
    <s v="AGRICOLA LOS MOSTOS SPA"/>
    <n v="23"/>
    <s v="NARANJAS"/>
    <s v="OC15G02"/>
    <s v="GRANEL"/>
    <s v="CHAMONATE SPA"/>
    <n v="15"/>
    <s v="CAT-1"/>
    <s v="CAT-1"/>
    <s v="EXPORTACION"/>
    <s v="80"/>
    <n v="80"/>
    <n v="1200"/>
    <s v="MAYO"/>
    <x v="0"/>
  </r>
  <r>
    <s v="2025-2026"/>
    <n v="20516"/>
    <x v="3"/>
    <d v="2026-05-27T00:00:00"/>
    <s v="ALMAHUE EXPORT SPA"/>
    <n v="5"/>
    <s v="ALM SERVICES SPA"/>
    <s v="Z120028186"/>
    <s v="Z120028186"/>
    <s v="2026-05-27 11:00:00"/>
    <s v="119278"/>
    <s v="AGRICOLA LOS MOSTOS SPA"/>
    <n v="23"/>
    <s v="NARANJAS"/>
    <s v="OC15G02"/>
    <s v="GRANEL"/>
    <s v="CHAMONATE SPA"/>
    <n v="15"/>
    <s v="CAT-1"/>
    <s v="CAT-1"/>
    <s v="EXPORTACION"/>
    <s v="80"/>
    <n v="80"/>
    <n v="1200"/>
    <s v="MAYO"/>
    <x v="0"/>
  </r>
  <r>
    <s v="2025-2026"/>
    <n v="20517"/>
    <x v="3"/>
    <d v="2026-05-27T00:00:00"/>
    <s v="ALMAHUE EXPORT SPA"/>
    <n v="5"/>
    <s v="ALM SERVICES SPA"/>
    <s v="Z120028193"/>
    <s v="Z120028193"/>
    <s v="2026-05-27 11:00:00"/>
    <s v="119278"/>
    <s v="AGRICOLA LOS MOSTOS SPA"/>
    <n v="23"/>
    <s v="NARANJAS"/>
    <s v="OC15G02"/>
    <s v="GRANEL"/>
    <s v="CHAMONATE SPA"/>
    <n v="15"/>
    <s v="CAT-1"/>
    <s v="CAT-1"/>
    <s v="EXPORTACION"/>
    <s v="80"/>
    <n v="80"/>
    <n v="1200"/>
    <s v="MAYO"/>
    <x v="0"/>
  </r>
  <r>
    <s v="2025-2026"/>
    <n v="20518"/>
    <x v="3"/>
    <d v="2026-05-27T00:00:00"/>
    <s v="ALMAHUE EXPORT SPA"/>
    <n v="5"/>
    <s v="ALM SERVICES SPA"/>
    <s v="Z120028195"/>
    <s v="Z120028195"/>
    <s v="2026-05-27 11:00:00"/>
    <s v="119278"/>
    <s v="AGRICOLA LOS MOSTOS SPA"/>
    <n v="23"/>
    <s v="NARANJAS"/>
    <s v="OC15G02"/>
    <s v="GRANEL"/>
    <s v="CHAMONATE SPA"/>
    <n v="15"/>
    <s v="CAT-1"/>
    <s v="CAT-1"/>
    <s v="EXPORTACION"/>
    <s v="100"/>
    <n v="17"/>
    <n v="255"/>
    <s v="MAYO"/>
    <x v="0"/>
  </r>
  <r>
    <s v="2025-2026"/>
    <n v="20519"/>
    <x v="3"/>
    <d v="2026-05-27T00:00:00"/>
    <s v="ALMAHUE EXPORT SPA"/>
    <n v="5"/>
    <s v="ALM SERVICES SPA"/>
    <s v="Z120028195"/>
    <s v="Z120028195"/>
    <s v="2026-05-27 11:00:00"/>
    <s v="119278"/>
    <s v="AGRICOLA LOS MOSTOS SPA"/>
    <n v="23"/>
    <s v="NARANJAS"/>
    <s v="OC15G02"/>
    <s v="GRANEL"/>
    <s v="CHAMONATE SPA"/>
    <n v="15"/>
    <s v="CAT-1"/>
    <s v="CAT-1"/>
    <s v="EXPORTACION"/>
    <s v="100"/>
    <n v="63"/>
    <n v="945"/>
    <s v="MAYO"/>
    <x v="0"/>
  </r>
  <r>
    <s v="2025-2026"/>
    <n v="20520"/>
    <x v="3"/>
    <d v="2026-05-27T00:00:00"/>
    <s v="ALMAHUE EXPORT SPA"/>
    <n v="5"/>
    <s v="ALM SERVICES SPA"/>
    <s v="Z120028198"/>
    <s v="Z120028198"/>
    <s v="2026-05-27 11:00:00"/>
    <s v="119278"/>
    <s v="AGRICOLA LOS MOSTOS SPA"/>
    <n v="23"/>
    <s v="NARANJAS"/>
    <s v="OC15G02"/>
    <s v="GRANEL"/>
    <s v="CHAMONATE SPA"/>
    <n v="15"/>
    <s v="CAT-1"/>
    <s v="CAT-1"/>
    <s v="EXPORTACION"/>
    <s v="70"/>
    <n v="80"/>
    <n v="1200"/>
    <s v="MAYO"/>
    <x v="0"/>
  </r>
  <r>
    <s v="2025-2026"/>
    <n v="20521"/>
    <x v="3"/>
    <d v="2026-05-27T00:00:00"/>
    <s v="ALMAHUE EXPORT SPA"/>
    <n v="5"/>
    <s v="ALM SERVICES SPA"/>
    <s v="Z120030906"/>
    <s v="Z120030906"/>
    <s v="2026-05-27 11:00:00"/>
    <s v="119278"/>
    <s v="AGRICOLA LOS MOSTOS SPA"/>
    <n v="23"/>
    <s v="NARANJAS"/>
    <s v="OC15G02"/>
    <s v="GRANEL"/>
    <s v="CHAMONATE SPA"/>
    <n v="15"/>
    <s v="CAT-1"/>
    <s v="CAT-1"/>
    <s v="EXPORTACION"/>
    <s v="80"/>
    <n v="80"/>
    <n v="1200"/>
    <s v="MAYO"/>
    <x v="0"/>
  </r>
  <r>
    <s v="2025-2026"/>
    <n v="20522"/>
    <x v="3"/>
    <d v="2026-05-27T00:00:00"/>
    <s v="ALMAHUE EXPORT SPA"/>
    <n v="5"/>
    <s v="ALM SERVICES SPA"/>
    <s v="Z120030912"/>
    <s v="Z120030912"/>
    <s v="2026-05-27 11:00:00"/>
    <s v="119278"/>
    <s v="AGRICOLA LOS MOSTOS SPA"/>
    <n v="23"/>
    <s v="NARANJAS"/>
    <s v="OC15G02"/>
    <s v="GRANEL"/>
    <s v="CHAMONATE SPA"/>
    <n v="15"/>
    <s v="CAT-1"/>
    <s v="CAT-1"/>
    <s v="EXPORTACION"/>
    <s v="110"/>
    <n v="73"/>
    <n v="1095"/>
    <s v="MAYO"/>
    <x v="0"/>
  </r>
  <r>
    <s v="2025-2026"/>
    <n v="20523"/>
    <x v="3"/>
    <d v="2026-05-27T00:00:00"/>
    <s v="ALMAHUE EXPORT SPA"/>
    <n v="5"/>
    <s v="ALM SERVICES SPA"/>
    <s v="Z120030912"/>
    <s v="Z120030912"/>
    <s v="2026-05-27 11:00:00"/>
    <s v="119278"/>
    <s v="AGRICOLA LOS MOSTOS SPA"/>
    <n v="23"/>
    <s v="NARANJAS"/>
    <s v="OC15G02"/>
    <s v="GRANEL"/>
    <s v="CHAMONATE SPA"/>
    <n v="15"/>
    <s v="CAT-1"/>
    <s v="CAT-1"/>
    <s v="EXPORTACION"/>
    <s v="110"/>
    <n v="7"/>
    <n v="105"/>
    <s v="MAYO"/>
    <x v="0"/>
  </r>
  <r>
    <s v="2025-2026"/>
    <n v="20524"/>
    <x v="3"/>
    <d v="2026-05-27T00:00:00"/>
    <s v="ALMAHUE EXPORT SPA"/>
    <n v="5"/>
    <s v="ALM SERVICES SPA"/>
    <s v="Z120030927"/>
    <s v="Z120030927"/>
    <s v="2026-05-27 11:00:00"/>
    <s v="119278"/>
    <s v="AGRICOLA LOS MOSTOS SPA"/>
    <n v="23"/>
    <s v="NARANJAS"/>
    <s v="OC15G02"/>
    <s v="GRANEL"/>
    <s v="CHAMONATE SPA"/>
    <n v="15"/>
    <s v="CAT-1"/>
    <s v="CAT-1"/>
    <s v="EXPORTACION"/>
    <s v="100"/>
    <n v="80"/>
    <n v="1200"/>
    <s v="MAYO"/>
    <x v="0"/>
  </r>
  <r>
    <s v="2025-2026"/>
    <n v="20525"/>
    <x v="3"/>
    <d v="2026-05-27T00:00:00"/>
    <s v="ALMAHUE EXPORT SPA"/>
    <n v="5"/>
    <s v="ALM SERVICES SPA"/>
    <s v="Z120030933"/>
    <s v="Z120030933"/>
    <s v="2026-05-27 11:00:00"/>
    <s v="119278"/>
    <s v="AGRICOLA LOS MOSTOS SPA"/>
    <n v="23"/>
    <s v="NARANJAS"/>
    <s v="OC15OT09"/>
    <s v="COSTCO"/>
    <s v="CHAMONATE SPA"/>
    <n v="15"/>
    <s v="CAT-1"/>
    <s v="CAT-1"/>
    <s v="EXPORTACION"/>
    <s v="60"/>
    <n v="60"/>
    <n v="900"/>
    <s v="MAYO"/>
    <x v="0"/>
  </r>
  <r>
    <s v="2025-2026"/>
    <n v="20526"/>
    <x v="3"/>
    <d v="2026-05-27T00:00:00"/>
    <s v="ALMAHUE EXPORT SPA"/>
    <n v="5"/>
    <s v="ALM SERVICES SPA"/>
    <s v="Z120030936"/>
    <s v="Z120030936"/>
    <s v="2026-05-27 11:00:00"/>
    <s v="119278"/>
    <s v="AGRICOLA LOS MOSTOS SPA"/>
    <n v="23"/>
    <s v="NARANJAS"/>
    <s v="OC15OT09"/>
    <s v="COSTCO"/>
    <s v="CHAMONATE SPA"/>
    <n v="15"/>
    <s v="CAT-1"/>
    <s v="CAT-1"/>
    <s v="EXPORTACION"/>
    <s v="70"/>
    <n v="60"/>
    <n v="900"/>
    <s v="MAYO"/>
    <x v="0"/>
  </r>
  <r>
    <s v="2025-2026"/>
    <n v="20527"/>
    <x v="3"/>
    <d v="2026-05-27T00:00:00"/>
    <s v="ALMAHUE EXPORT SPA"/>
    <n v="5"/>
    <s v="ALM SERVICES SPA"/>
    <s v="Z120030943"/>
    <s v="Z120030943"/>
    <s v="2026-05-27 11:00:00"/>
    <s v="119278"/>
    <s v="AGRICOLA LOS MOSTOS SPA"/>
    <n v="23"/>
    <s v="NARANJAS"/>
    <s v="OC15G02"/>
    <s v="GRANEL"/>
    <s v="CHAMONATE SPA"/>
    <n v="15"/>
    <s v="CAT-1"/>
    <s v="CAT-1"/>
    <s v="EXPORTACION"/>
    <s v="110"/>
    <n v="77"/>
    <n v="1155"/>
    <s v="MAYO"/>
    <x v="0"/>
  </r>
  <r>
    <s v="2025-2026"/>
    <n v="20528"/>
    <x v="3"/>
    <d v="2026-05-27T00:00:00"/>
    <s v="ALMAHUE EXPORT SPA"/>
    <n v="5"/>
    <s v="ALM SERVICES SPA"/>
    <s v="Z120030943"/>
    <s v="Z120030943"/>
    <s v="2026-05-27 11:00:00"/>
    <s v="119278"/>
    <s v="AGRICOLA LOS MOSTOS SPA"/>
    <n v="23"/>
    <s v="NARANJAS"/>
    <s v="OC15G02"/>
    <s v="GRANEL"/>
    <s v="CHAMONATE SPA"/>
    <n v="15"/>
    <s v="CAT-1"/>
    <s v="CAT-1"/>
    <s v="EXPORTACION"/>
    <s v="100"/>
    <n v="3"/>
    <n v="45"/>
    <s v="MAYO"/>
    <x v="0"/>
  </r>
  <r>
    <s v="2025-2026"/>
    <n v="20529"/>
    <x v="3"/>
    <d v="2026-05-27T00:00:00"/>
    <s v="ALMAHUE EXPORT SPA"/>
    <n v="5"/>
    <s v="ALM SERVICES SPA"/>
    <s v="Z120030944"/>
    <s v="Z120030944"/>
    <s v="2026-05-27 11:00:00"/>
    <s v="119278"/>
    <s v="AGRICOLA LOS MOSTOS SPA"/>
    <n v="23"/>
    <s v="NARANJAS"/>
    <s v="OC15G02"/>
    <s v="GRANEL"/>
    <s v="CHAMONATE SPA"/>
    <n v="15"/>
    <s v="CAT-1"/>
    <s v="CAT-1"/>
    <s v="EXPORTACION"/>
    <s v="100"/>
    <n v="37"/>
    <n v="555"/>
    <s v="MAYO"/>
    <x v="0"/>
  </r>
  <r>
    <s v="2025-2026"/>
    <n v="20530"/>
    <x v="3"/>
    <d v="2026-05-27T00:00:00"/>
    <s v="ALMAHUE EXPORT SPA"/>
    <n v="5"/>
    <s v="ALM SERVICES SPA"/>
    <s v="Z120030944"/>
    <s v="Z120030944"/>
    <s v="2026-05-27 11:00:00"/>
    <s v="119278"/>
    <s v="AGRICOLA LOS MOSTOS SPA"/>
    <n v="23"/>
    <s v="NARANJAS"/>
    <s v="OC15G02"/>
    <s v="GRANEL"/>
    <s v="CHAMONATE SPA"/>
    <n v="15"/>
    <s v="CAT-1"/>
    <s v="CAT-1"/>
    <s v="EXPORTACION"/>
    <s v="100"/>
    <n v="43"/>
    <n v="645"/>
    <s v="MAYO"/>
    <x v="0"/>
  </r>
  <r>
    <s v="2025-2026"/>
    <n v="20531"/>
    <x v="3"/>
    <d v="2026-05-27T00:00:00"/>
    <s v="ALMAHUE EXPORT SPA"/>
    <n v="5"/>
    <s v="ALM SERVICES SPA"/>
    <s v="Z120030952"/>
    <s v="Z120030952"/>
    <s v="2026-05-27 11:00:00"/>
    <s v="119278"/>
    <s v="AGRICOLA LOS MOSTOS SPA"/>
    <n v="23"/>
    <s v="NARANJAS"/>
    <s v="OC15OT09"/>
    <s v="COSTCO"/>
    <s v="CHAMONATE SPA"/>
    <n v="15"/>
    <s v="CAT-1"/>
    <s v="CAT-1"/>
    <s v="EXPORTACION"/>
    <s v="60"/>
    <n v="60"/>
    <n v="900"/>
    <s v="MAYO"/>
    <x v="0"/>
  </r>
  <r>
    <s v="2025-2026"/>
    <n v="20532"/>
    <x v="3"/>
    <d v="2026-05-27T00:00:00"/>
    <s v="ALMAHUE EXPORT SPA"/>
    <n v="5"/>
    <s v="ALM SERVICES SPA"/>
    <s v="Z120030955"/>
    <s v="Z120030955"/>
    <s v="2026-05-27 11:00:00"/>
    <s v="119278"/>
    <s v="AGRICOLA LOS MOSTOS SPA"/>
    <n v="23"/>
    <s v="NARANJAS"/>
    <s v="OC15OT09"/>
    <s v="COSTCO"/>
    <s v="CHAMONATE SPA"/>
    <n v="15"/>
    <s v="CAT-1"/>
    <s v="CAT-1"/>
    <s v="EXPORTACION"/>
    <s v="70"/>
    <n v="60"/>
    <n v="900"/>
    <s v="MAYO"/>
    <x v="0"/>
  </r>
  <r>
    <s v="2025-2026"/>
    <n v="20533"/>
    <x v="3"/>
    <d v="2026-05-27T00:00:00"/>
    <s v="ALMAHUE EXPORT SPA"/>
    <n v="5"/>
    <s v="ALM SERVICES SPA"/>
    <s v="Z120030958"/>
    <s v="Z120030958"/>
    <s v="2026-05-27 11:00:00"/>
    <s v="119278"/>
    <s v="AGRICOLA LOS MOSTOS SPA"/>
    <n v="23"/>
    <s v="NARANJAS"/>
    <s v="OC15OT09"/>
    <s v="COSTCO"/>
    <s v="CHAMONATE SPA"/>
    <n v="15"/>
    <s v="CAT-1"/>
    <s v="CAT-1"/>
    <s v="EXPORTACION"/>
    <s v="70"/>
    <n v="60"/>
    <n v="900"/>
    <s v="MAYO"/>
    <x v="0"/>
  </r>
  <r>
    <s v="2025-2026"/>
    <n v="20534"/>
    <x v="3"/>
    <d v="2026-05-27T00:00:00"/>
    <s v="ALMAHUE EXPORT SPA"/>
    <n v="5"/>
    <s v="ALM SERVICES SPA"/>
    <s v="Z120030959"/>
    <s v="Z120030959"/>
    <s v="2026-05-27 11:00:00"/>
    <s v="119278"/>
    <s v="AGRICOLA LOS MOSTOS SPA"/>
    <n v="23"/>
    <s v="NARANJAS"/>
    <s v="OC15OT09"/>
    <s v="COSTCO"/>
    <s v="CHAMONATE SPA"/>
    <n v="15"/>
    <s v="CAT-1"/>
    <s v="CAT-1"/>
    <s v="EXPORTACION"/>
    <s v="60"/>
    <n v="60"/>
    <n v="900"/>
    <s v="MAYO"/>
    <x v="0"/>
  </r>
  <r>
    <s v="2025-2026"/>
    <n v="20535"/>
    <x v="3"/>
    <d v="2026-05-27T00:00:00"/>
    <s v="ALMAHUE EXPORT SPA"/>
    <n v="5"/>
    <s v="ALM SERVICES SPA"/>
    <s v="Z120030963"/>
    <s v="Z120030963"/>
    <s v="2026-05-27 11:00:00"/>
    <s v="119278"/>
    <s v="AGRICOLA LOS MOSTOS SPA"/>
    <n v="23"/>
    <s v="NARANJAS"/>
    <s v="OC15OT09"/>
    <s v="COSTCO"/>
    <s v="CHAMONATE SPA"/>
    <n v="15"/>
    <s v="CAT-1"/>
    <s v="CAT-1"/>
    <s v="EXPORTACION"/>
    <s v="60"/>
    <n v="60"/>
    <n v="900"/>
    <s v="MAYO"/>
    <x v="0"/>
  </r>
  <r>
    <s v="2025-2026"/>
    <n v="20536"/>
    <x v="3"/>
    <d v="2026-05-27T00:00:00"/>
    <s v="ALMAHUE EXPORT SPA"/>
    <n v="5"/>
    <s v="ALM SERVICES SPA"/>
    <s v="Z120030968"/>
    <s v="Z120030968"/>
    <s v="2026-05-27 11:00:00"/>
    <s v="119278"/>
    <s v="AGRICOLA LOS MOSTOS SPA"/>
    <n v="23"/>
    <s v="NARANJAS"/>
    <s v="OC15OT09"/>
    <s v="COSTCO"/>
    <s v="CHAMONATE SPA"/>
    <n v="15"/>
    <s v="CAT-1"/>
    <s v="CAT-1"/>
    <s v="EXPORTACION"/>
    <s v="60"/>
    <n v="60"/>
    <n v="900"/>
    <s v="MAYO"/>
    <x v="0"/>
  </r>
  <r>
    <s v="2025-2026"/>
    <n v="20537"/>
    <x v="3"/>
    <d v="2026-05-27T00:00:00"/>
    <s v="ALMAHUE EXPORT SPA"/>
    <n v="5"/>
    <s v="ALM SERVICES SPA"/>
    <s v="Z120030982"/>
    <s v="Z120030982"/>
    <s v="2026-05-27 11:00:00"/>
    <s v="119278"/>
    <s v="AGRICOLA LOS MOSTOS SPA"/>
    <n v="23"/>
    <s v="NARANJAS"/>
    <s v="OC15G02"/>
    <s v="GRANEL"/>
    <s v="CHAMONATE SPA"/>
    <n v="15"/>
    <s v="CAT-1"/>
    <s v="CAT-1"/>
    <s v="EXPORTACION"/>
    <s v="110"/>
    <n v="80"/>
    <n v="1200"/>
    <s v="MAYO"/>
    <x v="0"/>
  </r>
  <r>
    <s v="2025-2026"/>
    <n v="20538"/>
    <x v="4"/>
    <d v="2026-05-29T00:00:00"/>
    <s v="ALMAHUE EXPORT SPA"/>
    <n v="5"/>
    <s v="ALM SERVICES SPA"/>
    <s v="Z120028160"/>
    <s v="Z120028160"/>
    <s v="2026-05-29 10:20:00"/>
    <s v="119278"/>
    <s v="AGRICOLA LOS MOSTOS SPA"/>
    <n v="23"/>
    <s v="NARANJAS"/>
    <s v="OC15OT10"/>
    <s v="CANADA"/>
    <s v="CHAMONATE SPA"/>
    <n v="15"/>
    <s v="CAT-1"/>
    <s v="CAT-1"/>
    <s v="EXPORTACION"/>
    <s v="40"/>
    <n v="60"/>
    <n v="900"/>
    <s v="MAYO"/>
    <x v="0"/>
  </r>
  <r>
    <s v="2025-2026"/>
    <n v="20539"/>
    <x v="4"/>
    <d v="2026-05-29T00:00:00"/>
    <s v="ALMAHUE EXPORT SPA"/>
    <n v="5"/>
    <s v="ALM SERVICES SPA"/>
    <s v="Z120028165"/>
    <s v="Z120028165"/>
    <s v="2026-05-29 10:20:00"/>
    <s v="119278"/>
    <s v="AGRICOLA LOS MOSTOS SPA"/>
    <n v="23"/>
    <s v="NARANJAS"/>
    <s v="OC15OT10"/>
    <s v="CANADA"/>
    <s v="CHAMONATE SPA"/>
    <n v="15"/>
    <s v="CAT-1"/>
    <s v="CAT-1"/>
    <s v="EXPORTACION"/>
    <s v="50"/>
    <n v="60"/>
    <n v="900"/>
    <s v="MAYO"/>
    <x v="0"/>
  </r>
  <r>
    <s v="2025-2026"/>
    <n v="20540"/>
    <x v="4"/>
    <d v="2026-05-29T00:00:00"/>
    <s v="ALMAHUE EXPORT SPA"/>
    <n v="5"/>
    <s v="ALM SERVICES SPA"/>
    <s v="Z120028166"/>
    <s v="Z120028166"/>
    <s v="2026-05-29 10:20:00"/>
    <s v="119278"/>
    <s v="AGRICOLA LOS MOSTOS SPA"/>
    <n v="23"/>
    <s v="NARANJAS"/>
    <s v="OC15OT10"/>
    <s v="CANADA"/>
    <s v="CHAMONATE SPA"/>
    <n v="15"/>
    <s v="CAT-1"/>
    <s v="CAT-1"/>
    <s v="EXPORTACION"/>
    <s v="40"/>
    <n v="2"/>
    <n v="30"/>
    <s v="MAYO"/>
    <x v="0"/>
  </r>
  <r>
    <s v="2025-2026"/>
    <n v="20541"/>
    <x v="4"/>
    <d v="2026-05-29T00:00:00"/>
    <s v="ALMAHUE EXPORT SPA"/>
    <n v="5"/>
    <s v="ALM SERVICES SPA"/>
    <s v="Z120028166"/>
    <s v="Z120028166"/>
    <s v="2026-05-29 10:20:00"/>
    <s v="119278"/>
    <s v="AGRICOLA LOS MOSTOS SPA"/>
    <n v="23"/>
    <s v="NARANJAS"/>
    <s v="OC15OT10"/>
    <s v="CANADA"/>
    <s v="CHAMONATE SPA"/>
    <n v="15"/>
    <s v="CAT-1"/>
    <s v="CAT-1"/>
    <s v="EXPORTACION"/>
    <s v="40"/>
    <n v="46"/>
    <n v="690"/>
    <s v="MAYO"/>
    <x v="0"/>
  </r>
  <r>
    <s v="2025-2026"/>
    <n v="20542"/>
    <x v="4"/>
    <d v="2026-05-29T00:00:00"/>
    <s v="ALMAHUE EXPORT SPA"/>
    <n v="5"/>
    <s v="ALM SERVICES SPA"/>
    <s v="Z120028166"/>
    <s v="Z120028166"/>
    <s v="2026-05-29 10:20:00"/>
    <s v="119278"/>
    <s v="AGRICOLA LOS MOSTOS SPA"/>
    <n v="23"/>
    <s v="NARANJAS"/>
    <s v="OC15OT10"/>
    <s v="CANADA"/>
    <s v="CHAMONATE SPA"/>
    <n v="15"/>
    <s v="CAT-1"/>
    <s v="CAT-1"/>
    <s v="EXPORTACION"/>
    <s v="40"/>
    <n v="12"/>
    <n v="180"/>
    <s v="MAYO"/>
    <x v="0"/>
  </r>
  <r>
    <s v="2025-2026"/>
    <n v="20543"/>
    <x v="4"/>
    <d v="2026-05-29T00:00:00"/>
    <s v="ALMAHUE EXPORT SPA"/>
    <n v="5"/>
    <s v="ALM SERVICES SPA"/>
    <s v="Z120028170"/>
    <s v="Z120028170"/>
    <s v="2026-05-29 10:20:00"/>
    <s v="119278"/>
    <s v="AGRICOLA LOS MOSTOS SPA"/>
    <n v="23"/>
    <s v="NARANJAS"/>
    <s v="OC15OT10"/>
    <s v="CANADA"/>
    <s v="CHAMONATE SPA"/>
    <n v="15"/>
    <s v="CAT-1"/>
    <s v="CAT-1"/>
    <s v="EXPORTACION"/>
    <s v="50"/>
    <n v="52"/>
    <n v="780"/>
    <s v="MAYO"/>
    <x v="0"/>
  </r>
  <r>
    <s v="2025-2026"/>
    <n v="20544"/>
    <x v="4"/>
    <d v="2026-05-29T00:00:00"/>
    <s v="ALMAHUE EXPORT SPA"/>
    <n v="5"/>
    <s v="ALM SERVICES SPA"/>
    <s v="Z120028170"/>
    <s v="Z120028170"/>
    <s v="2026-05-29 10:20:00"/>
    <s v="119278"/>
    <s v="AGRICOLA LOS MOSTOS SPA"/>
    <n v="23"/>
    <s v="NARANJAS"/>
    <s v="OC15OT10"/>
    <s v="CANADA"/>
    <s v="CHAMONATE SPA"/>
    <n v="15"/>
    <s v="CAT-1"/>
    <s v="CAT-1"/>
    <s v="EXPORTACION"/>
    <s v="50"/>
    <n v="8"/>
    <n v="120"/>
    <s v="MAYO"/>
    <x v="0"/>
  </r>
  <r>
    <s v="2025-2026"/>
    <n v="20545"/>
    <x v="4"/>
    <d v="2026-05-29T00:00:00"/>
    <s v="ALMAHUE EXPORT SPA"/>
    <n v="5"/>
    <s v="ALM SERVICES SPA"/>
    <s v="Z120028175"/>
    <s v="Z120028175"/>
    <s v="2026-05-29 10:20:00"/>
    <s v="119278"/>
    <s v="AGRICOLA LOS MOSTOS SPA"/>
    <n v="23"/>
    <s v="NARANJAS"/>
    <s v="OC15OT10"/>
    <s v="CANADA"/>
    <s v="CHAMONATE SPA"/>
    <n v="15"/>
    <s v="CAT-1"/>
    <s v="CAT-1"/>
    <s v="EXPORTACION"/>
    <s v="50"/>
    <n v="60"/>
    <n v="900"/>
    <s v="MAYO"/>
    <x v="0"/>
  </r>
  <r>
    <s v="2025-2026"/>
    <n v="20546"/>
    <x v="4"/>
    <d v="2026-05-29T00:00:00"/>
    <s v="ALMAHUE EXPORT SPA"/>
    <n v="5"/>
    <s v="ALM SERVICES SPA"/>
    <s v="Z120028177"/>
    <s v="Z120028177"/>
    <s v="2026-05-29 10:20:00"/>
    <s v="119278"/>
    <s v="AGRICOLA LOS MOSTOS SPA"/>
    <n v="23"/>
    <s v="NARANJAS"/>
    <s v="OC15OT10"/>
    <s v="CANADA"/>
    <s v="CHAMONATE SPA"/>
    <n v="15"/>
    <s v="CAT-1"/>
    <s v="CAT-1"/>
    <s v="EXPORTACION"/>
    <s v="40"/>
    <n v="24"/>
    <n v="360"/>
    <s v="MAYO"/>
    <x v="0"/>
  </r>
  <r>
    <s v="2025-2026"/>
    <n v="20547"/>
    <x v="4"/>
    <d v="2026-05-29T00:00:00"/>
    <s v="ALMAHUE EXPORT SPA"/>
    <n v="5"/>
    <s v="ALM SERVICES SPA"/>
    <s v="Z120028177"/>
    <s v="Z120028177"/>
    <s v="2026-05-29 10:20:00"/>
    <s v="119278"/>
    <s v="AGRICOLA LOS MOSTOS SPA"/>
    <n v="23"/>
    <s v="NARANJAS"/>
    <s v="OC15OT10"/>
    <s v="CANADA"/>
    <s v="CHAMONATE SPA"/>
    <n v="15"/>
    <s v="CAT-1"/>
    <s v="CAT-1"/>
    <s v="EXPORTACION"/>
    <s v="40"/>
    <n v="36"/>
    <n v="540"/>
    <s v="MAYO"/>
    <x v="0"/>
  </r>
  <r>
    <s v="2025-2026"/>
    <n v="20548"/>
    <x v="4"/>
    <d v="2026-05-29T00:00:00"/>
    <s v="ALMAHUE EXPORT SPA"/>
    <n v="5"/>
    <s v="ALM SERVICES SPA"/>
    <s v="Z120028181"/>
    <s v="Z120028181"/>
    <s v="2026-05-29 10:20:00"/>
    <s v="119278"/>
    <s v="AGRICOLA LOS MOSTOS SPA"/>
    <n v="23"/>
    <s v="NARANJAS"/>
    <s v="OC15OT10"/>
    <s v="CANADA"/>
    <s v="CHAMONATE SPA"/>
    <n v="15"/>
    <s v="CAT-1"/>
    <s v="CAT-1"/>
    <s v="EXPORTACION"/>
    <s v="50"/>
    <n v="60"/>
    <n v="900"/>
    <s v="MAYO"/>
    <x v="0"/>
  </r>
  <r>
    <s v="2025-2026"/>
    <n v="20549"/>
    <x v="4"/>
    <d v="2026-05-29T00:00:00"/>
    <s v="ALMAHUE EXPORT SPA"/>
    <n v="5"/>
    <s v="ALM SERVICES SPA"/>
    <s v="Z120028184"/>
    <s v="Z120028184"/>
    <s v="2026-05-29 10:20:00"/>
    <s v="119278"/>
    <s v="AGRICOLA LOS MOSTOS SPA"/>
    <n v="23"/>
    <s v="NARANJAS"/>
    <s v="OC15OT10"/>
    <s v="CANADA"/>
    <s v="CHAMONATE SPA"/>
    <n v="15"/>
    <s v="CAT-1"/>
    <s v="CAT-1"/>
    <s v="EXPORTACION"/>
    <s v="50"/>
    <n v="60"/>
    <n v="900"/>
    <s v="MAYO"/>
    <x v="0"/>
  </r>
  <r>
    <s v="2025-2026"/>
    <n v="20550"/>
    <x v="4"/>
    <d v="2026-05-29T00:00:00"/>
    <s v="ALMAHUE EXPORT SPA"/>
    <n v="5"/>
    <s v="ALM SERVICES SPA"/>
    <s v="Z120028188"/>
    <s v="Z120028188"/>
    <s v="2026-05-29 10:20:00"/>
    <s v="119278"/>
    <s v="AGRICOLA LOS MOSTOS SPA"/>
    <n v="23"/>
    <s v="NARANJAS"/>
    <s v="OC15OT10"/>
    <s v="CANADA"/>
    <s v="CHAMONATE SPA"/>
    <n v="15"/>
    <s v="CAT-1"/>
    <s v="CAT-1"/>
    <s v="EXPORTACION"/>
    <s v="50"/>
    <n v="60"/>
    <n v="900"/>
    <s v="MAYO"/>
    <x v="0"/>
  </r>
  <r>
    <s v="2025-2026"/>
    <n v="20551"/>
    <x v="4"/>
    <d v="2026-05-29T00:00:00"/>
    <s v="ALMAHUE EXPORT SPA"/>
    <n v="5"/>
    <s v="ALM SERVICES SPA"/>
    <s v="Z120028190"/>
    <s v="Z120028190"/>
    <s v="2026-05-29 10:20:00"/>
    <s v="119278"/>
    <s v="AGRICOLA LOS MOSTOS SPA"/>
    <n v="23"/>
    <s v="NARANJAS"/>
    <s v="OC15OT10"/>
    <s v="CANADA"/>
    <s v="CHAMONATE SPA"/>
    <n v="15"/>
    <s v="CAT-1"/>
    <s v="CAT-1"/>
    <s v="EXPORTACION"/>
    <s v="40"/>
    <n v="60"/>
    <n v="900"/>
    <s v="MAYO"/>
    <x v="0"/>
  </r>
  <r>
    <s v="2025-2026"/>
    <n v="20552"/>
    <x v="4"/>
    <d v="2026-05-29T00:00:00"/>
    <s v="ALMAHUE EXPORT SPA"/>
    <n v="5"/>
    <s v="ALM SERVICES SPA"/>
    <s v="Z120028191"/>
    <s v="Z120028191"/>
    <s v="2026-05-29 10:20:00"/>
    <s v="119278"/>
    <s v="AGRICOLA LOS MOSTOS SPA"/>
    <n v="23"/>
    <s v="NARANJAS"/>
    <s v="OC15OT10"/>
    <s v="CANADA"/>
    <s v="CHAMONATE SPA"/>
    <n v="15"/>
    <s v="CAT-1"/>
    <s v="CAT-1"/>
    <s v="EXPORTACION"/>
    <s v="50"/>
    <n v="60"/>
    <n v="900"/>
    <s v="MAYO"/>
    <x v="0"/>
  </r>
  <r>
    <s v="2025-2026"/>
    <n v="20553"/>
    <x v="4"/>
    <d v="2026-05-29T00:00:00"/>
    <s v="ALMAHUE EXPORT SPA"/>
    <n v="5"/>
    <s v="ALM SERVICES SPA"/>
    <s v="Z120028194"/>
    <s v="Z120028194"/>
    <s v="2026-05-29 10:20:00"/>
    <s v="119278"/>
    <s v="AGRICOLA LOS MOSTOS SPA"/>
    <n v="23"/>
    <s v="NARANJAS"/>
    <s v="OC15OT10"/>
    <s v="CANADA"/>
    <s v="CHAMONATE SPA"/>
    <n v="15"/>
    <s v="CAT-1"/>
    <s v="CAT-1"/>
    <s v="EXPORTACION"/>
    <s v="50"/>
    <n v="60"/>
    <n v="900"/>
    <s v="MAYO"/>
    <x v="0"/>
  </r>
  <r>
    <s v="2025-2026"/>
    <n v="20554"/>
    <x v="4"/>
    <d v="2026-05-29T00:00:00"/>
    <s v="ALMAHUE EXPORT SPA"/>
    <n v="5"/>
    <s v="ALM SERVICES SPA"/>
    <s v="Z120028197"/>
    <s v="Z120028197"/>
    <s v="2026-05-29 10:20:00"/>
    <s v="119278"/>
    <s v="AGRICOLA LOS MOSTOS SPA"/>
    <n v="23"/>
    <s v="NARANJAS"/>
    <s v="OC15OT10"/>
    <s v="CANADA"/>
    <s v="CHAMONATE SPA"/>
    <n v="15"/>
    <s v="CAT-1"/>
    <s v="CAT-1"/>
    <s v="EXPORTACION"/>
    <s v="50"/>
    <n v="60"/>
    <n v="900"/>
    <s v="MAYO"/>
    <x v="0"/>
  </r>
  <r>
    <s v="2025-2026"/>
    <n v="20555"/>
    <x v="4"/>
    <d v="2026-05-29T00:00:00"/>
    <s v="ALMAHUE EXPORT SPA"/>
    <n v="5"/>
    <s v="ALM SERVICES SPA"/>
    <s v="Z120030901"/>
    <s v="Z120030901"/>
    <s v="2026-05-29 10:20:00"/>
    <s v="119278"/>
    <s v="AGRICOLA LOS MOSTOS SPA"/>
    <n v="23"/>
    <s v="NARANJAS"/>
    <s v="OC15OT10"/>
    <s v="CANADA"/>
    <s v="CHAMONATE SPA"/>
    <n v="15"/>
    <s v="CAT-1"/>
    <s v="CAT-1"/>
    <s v="EXPORTACION"/>
    <s v="50"/>
    <n v="60"/>
    <n v="900"/>
    <s v="MAYO"/>
    <x v="0"/>
  </r>
  <r>
    <s v="2025-2026"/>
    <n v="20556"/>
    <x v="4"/>
    <d v="2026-05-29T00:00:00"/>
    <s v="ALMAHUE EXPORT SPA"/>
    <n v="5"/>
    <s v="ALM SERVICES SPA"/>
    <s v="Z120030903"/>
    <s v="Z120030903"/>
    <s v="2026-05-29 10:20:00"/>
    <s v="119278"/>
    <s v="AGRICOLA LOS MOSTOS SPA"/>
    <n v="23"/>
    <s v="NARANJAS"/>
    <s v="OC15OT10"/>
    <s v="CANADA"/>
    <s v="CHAMONATE SPA"/>
    <n v="15"/>
    <s v="CAT-1"/>
    <s v="CAT-1"/>
    <s v="EXPORTACION"/>
    <s v="40"/>
    <n v="60"/>
    <n v="900"/>
    <s v="MAYO"/>
    <x v="0"/>
  </r>
  <r>
    <s v="2025-2026"/>
    <n v="20557"/>
    <x v="4"/>
    <d v="2026-05-29T00:00:00"/>
    <s v="ALMAHUE EXPORT SPA"/>
    <n v="5"/>
    <s v="ALM SERVICES SPA"/>
    <s v="Z120030904"/>
    <s v="Z120030904"/>
    <s v="2026-05-29 10:20:00"/>
    <s v="119278"/>
    <s v="AGRICOLA LOS MOSTOS SPA"/>
    <n v="23"/>
    <s v="NARANJAS"/>
    <s v="OC15OT10"/>
    <s v="CANADA"/>
    <s v="CHAMONATE SPA"/>
    <n v="15"/>
    <s v="CAT-1"/>
    <s v="CAT-1"/>
    <s v="EXPORTACION"/>
    <s v="50"/>
    <n v="60"/>
    <n v="900"/>
    <s v="MAYO"/>
    <x v="0"/>
  </r>
  <r>
    <s v="2025-2026"/>
    <n v="20558"/>
    <x v="4"/>
    <d v="2026-05-29T00:00:00"/>
    <s v="ALMAHUE EXPORT SPA"/>
    <n v="5"/>
    <s v="ALM SERVICES SPA"/>
    <s v="Z120030905"/>
    <s v="Z120030905"/>
    <s v="2026-05-29 10:20:00"/>
    <s v="119278"/>
    <s v="AGRICOLA LOS MOSTOS SPA"/>
    <n v="23"/>
    <s v="NARANJAS"/>
    <s v="OC15OT10"/>
    <s v="CANADA"/>
    <s v="CHAMONATE SPA"/>
    <n v="15"/>
    <s v="CAT-1"/>
    <s v="CAT-1"/>
    <s v="EXPORTACION"/>
    <s v="50"/>
    <n v="60"/>
    <n v="900"/>
    <s v="MAYO"/>
    <x v="0"/>
  </r>
  <r>
    <s v="2025-2026"/>
    <n v="20559"/>
    <x v="4"/>
    <d v="2026-05-29T00:00:00"/>
    <s v="ALMAHUE EXPORT SPA"/>
    <n v="5"/>
    <s v="ALM SERVICES SPA"/>
    <s v="Z120030909"/>
    <s v="Z120030909"/>
    <s v="2026-05-29 10:20:00"/>
    <s v="119278"/>
    <s v="AGRICOLA LOS MOSTOS SPA"/>
    <n v="23"/>
    <s v="NARANJAS"/>
    <s v="OC15OT10"/>
    <s v="CANADA"/>
    <s v="CHAMONATE SPA"/>
    <n v="15"/>
    <s v="CAT-1"/>
    <s v="CAT-1"/>
    <s v="EXPORTACION"/>
    <s v="50"/>
    <n v="60"/>
    <n v="900"/>
    <s v="MAYO"/>
    <x v="0"/>
  </r>
  <r>
    <s v="2025-2026"/>
    <n v="20560"/>
    <x v="4"/>
    <d v="2026-05-29T00:00:00"/>
    <s v="ALMAHUE EXPORT SPA"/>
    <n v="5"/>
    <s v="ALM SERVICES SPA"/>
    <s v="Z120030913"/>
    <s v="Z120030913"/>
    <s v="2026-05-29 10:20:00"/>
    <s v="119278"/>
    <s v="AGRICOLA LOS MOSTOS SPA"/>
    <n v="23"/>
    <s v="NARANJAS"/>
    <s v="OC15OT10"/>
    <s v="CANADA"/>
    <s v="CHAMONATE SPA"/>
    <n v="15"/>
    <s v="CAT-1"/>
    <s v="CAT-1"/>
    <s v="EXPORTACION"/>
    <s v="50"/>
    <n v="60"/>
    <n v="900"/>
    <s v="MAYO"/>
    <x v="0"/>
  </r>
  <r>
    <s v="2025-2026"/>
    <n v="20561"/>
    <x v="4"/>
    <d v="2026-05-29T00:00:00"/>
    <s v="ALMAHUE EXPORT SPA"/>
    <n v="5"/>
    <s v="ALM SERVICES SPA"/>
    <s v="Z120030917"/>
    <s v="Z120030917"/>
    <s v="2026-05-29 10:20:00"/>
    <s v="119278"/>
    <s v="AGRICOLA LOS MOSTOS SPA"/>
    <n v="23"/>
    <s v="NARANJAS"/>
    <s v="OC15OT10"/>
    <s v="CANADA"/>
    <s v="CHAMONATE SPA"/>
    <n v="15"/>
    <s v="CAT-1"/>
    <s v="CAT-1"/>
    <s v="EXPORTACION"/>
    <s v="50"/>
    <n v="41"/>
    <n v="615"/>
    <s v="MAYO"/>
    <x v="0"/>
  </r>
  <r>
    <s v="2025-2026"/>
    <n v="20562"/>
    <x v="4"/>
    <d v="2026-05-29T00:00:00"/>
    <s v="ALMAHUE EXPORT SPA"/>
    <n v="5"/>
    <s v="ALM SERVICES SPA"/>
    <s v="Z120030917"/>
    <s v="Z120030917"/>
    <s v="2026-05-29 10:20:00"/>
    <s v="119278"/>
    <s v="AGRICOLA LOS MOSTOS SPA"/>
    <n v="23"/>
    <s v="NARANJAS"/>
    <s v="OC15OT10"/>
    <s v="CANADA"/>
    <s v="CHAMONATE SPA"/>
    <n v="15"/>
    <s v="CAT-1"/>
    <s v="CAT-1"/>
    <s v="EXPORTACION"/>
    <s v="50"/>
    <n v="19"/>
    <n v="285"/>
    <s v="MAYO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5">
  <r>
    <s v="2025-2026"/>
    <n v="20376"/>
    <x v="0"/>
    <x v="0"/>
    <n v="21"/>
    <n v="5"/>
    <d v="2026-05-28T00:00:00"/>
    <s v="SAG"/>
    <s v="ALMAHUE EXPORT SPA"/>
    <s v="TERRA EXPORTS"/>
    <n v="56"/>
    <s v="IMPORTADORA DE FRUTAS SARANGO S.A. SARCOFRUIT"/>
    <n v="347"/>
    <s v="18567516-5"/>
    <s v="DIEGO PONCE"/>
    <s v="HFBF75"/>
    <m/>
    <s v="M5614005"/>
    <m/>
    <s v="Z120030971"/>
    <s v="Z120030971"/>
    <s v="119278"/>
    <s v="NARANJAS"/>
    <s v="OC15G02"/>
    <s v="GRANEL"/>
    <n v="15"/>
    <s v="CAT-1"/>
    <s v="CAT-1"/>
    <s v="EXPORTACION"/>
    <s v="50"/>
    <n v="80"/>
    <n v="1200"/>
    <n v="10"/>
    <m/>
    <m/>
    <m/>
    <s v="74"/>
    <m/>
    <s v="SAN ANTONIO"/>
    <s v="MARITIMO"/>
    <s v="POSORJA"/>
    <m/>
    <m/>
    <m/>
    <m/>
    <m/>
    <m/>
    <s v="CARTAGENA EXPRESS"/>
    <s v="CXRU1550178"/>
    <m/>
    <s v="ECUADOR          "/>
    <d v="2026-05-22T00:00:00"/>
    <s v="15.0"/>
    <n v="444"/>
    <m/>
    <m/>
    <m/>
    <s v="119278"/>
    <n v="118"/>
    <s v="99999"/>
    <m/>
    <s v="OPB SERVICIOS INTEGRALES SPA"/>
    <s v="M5614005"/>
    <s v="119278"/>
    <m/>
    <m/>
    <m/>
    <s v="5.5"/>
    <n v="474"/>
    <s v="CENTROAMERICA"/>
    <s v="ALMAHUE TRADICIONAL"/>
    <s v="CYL FRUITS"/>
    <s v="CMA CGM"/>
    <s v="SNG0507462"/>
    <s v="SNG0507462"/>
    <n v="46160"/>
    <m/>
    <s v="OPB SERVICIOS INTEGRALES SPA"/>
    <n v="46157"/>
    <d v="2026-05-22T00:00:00"/>
    <d v="2026-05-28T00:00:00"/>
    <x v="0"/>
  </r>
  <r>
    <s v="2025-2026"/>
    <n v="20377"/>
    <x v="0"/>
    <x v="0"/>
    <n v="21"/>
    <n v="5"/>
    <d v="2026-05-28T00:00:00"/>
    <s v="SAG"/>
    <s v="ALMAHUE EXPORT SPA"/>
    <s v="TERRA EXPORTS"/>
    <n v="56"/>
    <s v="IMPORTADORA DE FRUTAS SARANGO S.A. SARCOFRUIT"/>
    <n v="347"/>
    <s v="18567516-5"/>
    <s v="DIEGO PONCE"/>
    <s v="HFBF75"/>
    <m/>
    <s v="M5614005"/>
    <m/>
    <s v="Z120030974"/>
    <s v="Z120030974"/>
    <s v="119278"/>
    <s v="NARANJAS"/>
    <s v="OC15G02"/>
    <s v="GRANEL"/>
    <n v="15"/>
    <s v="CAT-1"/>
    <s v="CAT-1"/>
    <s v="EXPORTACION"/>
    <s v="60"/>
    <n v="80"/>
    <n v="1200"/>
    <n v="10"/>
    <m/>
    <m/>
    <m/>
    <s v="74"/>
    <m/>
    <s v="SAN ANTONIO"/>
    <s v="MARITIMO"/>
    <s v="POSORJA"/>
    <m/>
    <m/>
    <m/>
    <m/>
    <m/>
    <m/>
    <s v="CARTAGENA EXPRESS"/>
    <s v="CXRU1550178"/>
    <m/>
    <s v="ECUADOR          "/>
    <d v="2026-05-22T00:00:00"/>
    <s v="15.0"/>
    <n v="444"/>
    <m/>
    <m/>
    <m/>
    <s v="119278"/>
    <n v="118"/>
    <s v="99999"/>
    <m/>
    <s v="OPB SERVICIOS INTEGRALES SPA"/>
    <s v="M5614005"/>
    <s v="119278"/>
    <m/>
    <m/>
    <m/>
    <s v="5.5"/>
    <n v="474"/>
    <s v="CENTROAMERICA"/>
    <s v="ALMAHUE TRADICIONAL"/>
    <s v="CYL FRUITS"/>
    <s v="CMA CGM"/>
    <s v="SNG0507462"/>
    <s v="SNG0507462"/>
    <n v="46160"/>
    <m/>
    <s v="OPB SERVICIOS INTEGRALES SPA"/>
    <n v="46157"/>
    <d v="2026-05-22T00:00:00"/>
    <d v="2026-05-28T00:00:00"/>
    <x v="0"/>
  </r>
  <r>
    <s v="2025-2026"/>
    <n v="20378"/>
    <x v="0"/>
    <x v="0"/>
    <n v="21"/>
    <n v="5"/>
    <d v="2026-05-28T00:00:00"/>
    <s v="SAG"/>
    <s v="ALMAHUE EXPORT SPA"/>
    <s v="TERRA EXPORTS"/>
    <n v="56"/>
    <s v="IMPORTADORA DE FRUTAS SARANGO S.A. SARCOFRUIT"/>
    <n v="347"/>
    <s v="18567516-5"/>
    <s v="DIEGO PONCE"/>
    <s v="HFBF75"/>
    <m/>
    <s v="M5614005"/>
    <m/>
    <s v="Z120030975"/>
    <s v="Z120030975"/>
    <s v="119278"/>
    <s v="NARANJAS"/>
    <s v="OC15G02"/>
    <s v="GRANEL"/>
    <n v="15"/>
    <s v="CAT-1"/>
    <s v="CAT-1"/>
    <s v="EXPORTACION"/>
    <s v="100"/>
    <n v="80"/>
    <n v="1200"/>
    <n v="10"/>
    <m/>
    <m/>
    <m/>
    <s v="74"/>
    <m/>
    <s v="SAN ANTONIO"/>
    <s v="MARITIMO"/>
    <s v="POSORJA"/>
    <m/>
    <m/>
    <m/>
    <m/>
    <m/>
    <m/>
    <s v="CARTAGENA EXPRESS"/>
    <s v="CXRU1550178"/>
    <m/>
    <s v="ECUADOR          "/>
    <d v="2026-05-22T00:00:00"/>
    <s v="15.0"/>
    <n v="444"/>
    <m/>
    <m/>
    <m/>
    <s v="119278"/>
    <n v="118"/>
    <s v="99999"/>
    <m/>
    <s v="OPB SERVICIOS INTEGRALES SPA"/>
    <s v="M5614005"/>
    <s v="119278"/>
    <m/>
    <m/>
    <m/>
    <s v="5.5"/>
    <n v="474"/>
    <s v="CENTROAMERICA"/>
    <s v="ALMAHUE TRADICIONAL"/>
    <s v="CYL FRUITS"/>
    <s v="CMA CGM"/>
    <s v="SNG0507462"/>
    <s v="SNG0507462"/>
    <n v="46160"/>
    <m/>
    <s v="OPB SERVICIOS INTEGRALES SPA"/>
    <n v="46157"/>
    <d v="2026-05-22T00:00:00"/>
    <d v="2026-05-28T00:00:00"/>
    <x v="0"/>
  </r>
  <r>
    <s v="2025-2026"/>
    <n v="20379"/>
    <x v="0"/>
    <x v="0"/>
    <n v="21"/>
    <n v="5"/>
    <d v="2026-05-28T00:00:00"/>
    <s v="SAG"/>
    <s v="ALMAHUE EXPORT SPA"/>
    <s v="TERRA EXPORTS"/>
    <n v="56"/>
    <s v="IMPORTADORA DE FRUTAS SARANGO S.A. SARCOFRUIT"/>
    <n v="347"/>
    <s v="18567516-5"/>
    <s v="DIEGO PONCE"/>
    <s v="HFBF75"/>
    <m/>
    <s v="M5614005"/>
    <m/>
    <s v="Z120030976"/>
    <s v="Z120030976"/>
    <s v="119278"/>
    <s v="NARANJAS"/>
    <s v="OC15G02"/>
    <s v="GRANEL"/>
    <n v="15"/>
    <s v="CAT-1"/>
    <s v="CAT-1"/>
    <s v="EXPORTACION"/>
    <s v="70"/>
    <n v="80"/>
    <n v="1200"/>
    <n v="10"/>
    <m/>
    <m/>
    <m/>
    <s v="74"/>
    <m/>
    <s v="SAN ANTONIO"/>
    <s v="MARITIMO"/>
    <s v="POSORJA"/>
    <m/>
    <m/>
    <m/>
    <m/>
    <m/>
    <m/>
    <s v="CARTAGENA EXPRESS"/>
    <s v="CXRU1550178"/>
    <m/>
    <s v="ECUADOR          "/>
    <d v="2026-05-22T00:00:00"/>
    <s v="15.0"/>
    <n v="444"/>
    <m/>
    <m/>
    <m/>
    <s v="119278"/>
    <n v="118"/>
    <s v="99999"/>
    <m/>
    <s v="OPB SERVICIOS INTEGRALES SPA"/>
    <s v="M5614005"/>
    <s v="119278"/>
    <m/>
    <m/>
    <m/>
    <s v="5.5"/>
    <n v="474"/>
    <s v="CENTROAMERICA"/>
    <s v="ALMAHUE TRADICIONAL"/>
    <s v="CYL FRUITS"/>
    <s v="CMA CGM"/>
    <s v="SNG0507462"/>
    <s v="SNG0507462"/>
    <n v="46160"/>
    <m/>
    <s v="OPB SERVICIOS INTEGRALES SPA"/>
    <n v="46157"/>
    <d v="2026-05-22T00:00:00"/>
    <d v="2026-05-28T00:00:00"/>
    <x v="0"/>
  </r>
  <r>
    <s v="2025-2026"/>
    <n v="20380"/>
    <x v="0"/>
    <x v="0"/>
    <n v="21"/>
    <n v="5"/>
    <d v="2026-05-28T00:00:00"/>
    <s v="SAG"/>
    <s v="ALMAHUE EXPORT SPA"/>
    <s v="TERRA EXPORTS"/>
    <n v="56"/>
    <s v="IMPORTADORA DE FRUTAS SARANGO S.A. SARCOFRUIT"/>
    <n v="347"/>
    <s v="18567516-5"/>
    <s v="DIEGO PONCE"/>
    <s v="HFBF75"/>
    <m/>
    <s v="M5614005"/>
    <m/>
    <s v="Z120030980"/>
    <s v="Z120030980"/>
    <s v="119278"/>
    <s v="NARANJAS"/>
    <s v="OC15G02"/>
    <s v="GRANEL"/>
    <n v="15"/>
    <s v="CAT-1"/>
    <s v="CAT-1"/>
    <s v="EXPORTACION"/>
    <s v="80"/>
    <n v="80"/>
    <n v="1200"/>
    <n v="10"/>
    <m/>
    <m/>
    <m/>
    <s v="74"/>
    <m/>
    <s v="SAN ANTONIO"/>
    <s v="MARITIMO"/>
    <s v="POSORJA"/>
    <m/>
    <m/>
    <m/>
    <m/>
    <m/>
    <m/>
    <s v="CARTAGENA EXPRESS"/>
    <s v="CXRU1550178"/>
    <m/>
    <s v="ECUADOR          "/>
    <d v="2026-05-22T00:00:00"/>
    <s v="15.0"/>
    <n v="444"/>
    <m/>
    <m/>
    <m/>
    <s v="119278"/>
    <n v="118"/>
    <s v="99999"/>
    <m/>
    <s v="OPB SERVICIOS INTEGRALES SPA"/>
    <s v="M5614005"/>
    <s v="119278"/>
    <m/>
    <m/>
    <m/>
    <s v="5.5"/>
    <n v="474"/>
    <s v="CENTROAMERICA"/>
    <s v="ALMAHUE TRADICIONAL"/>
    <s v="CYL FRUITS"/>
    <s v="CMA CGM"/>
    <s v="SNG0507462"/>
    <s v="SNG0507462"/>
    <n v="46160"/>
    <m/>
    <s v="OPB SERVICIOS INTEGRALES SPA"/>
    <n v="46157"/>
    <d v="2026-05-22T00:00:00"/>
    <d v="2026-05-28T00:00:00"/>
    <x v="0"/>
  </r>
  <r>
    <s v="2025-2026"/>
    <n v="20381"/>
    <x v="0"/>
    <x v="0"/>
    <n v="21"/>
    <n v="5"/>
    <d v="2026-05-28T00:00:00"/>
    <s v="SAG"/>
    <s v="ALMAHUE EXPORT SPA"/>
    <s v="TERRA EXPORTS"/>
    <n v="56"/>
    <s v="IMPORTADORA DE FRUTAS SARANGO S.A. SARCOFRUIT"/>
    <n v="347"/>
    <s v="18567516-5"/>
    <s v="DIEGO PONCE"/>
    <s v="HFBF75"/>
    <m/>
    <s v="M5614005"/>
    <m/>
    <s v="Z120030981"/>
    <s v="Z120030981"/>
    <s v="119278"/>
    <s v="NARANJAS"/>
    <s v="OC15G02"/>
    <s v="GRANEL"/>
    <n v="15"/>
    <s v="CAT-1"/>
    <s v="CAT-1"/>
    <s v="EXPORTACION"/>
    <s v="70"/>
    <n v="80"/>
    <n v="1200"/>
    <n v="10"/>
    <m/>
    <m/>
    <m/>
    <s v="74"/>
    <m/>
    <s v="SAN ANTONIO"/>
    <s v="MARITIMO"/>
    <s v="POSORJA"/>
    <m/>
    <m/>
    <m/>
    <m/>
    <m/>
    <m/>
    <s v="CARTAGENA EXPRESS"/>
    <s v="CXRU1550178"/>
    <m/>
    <s v="ECUADOR          "/>
    <d v="2026-05-22T00:00:00"/>
    <s v="15.0"/>
    <n v="444"/>
    <m/>
    <m/>
    <m/>
    <s v="119278"/>
    <n v="118"/>
    <s v="99999"/>
    <m/>
    <s v="OPB SERVICIOS INTEGRALES SPA"/>
    <s v="M5614005"/>
    <s v="119278"/>
    <m/>
    <m/>
    <m/>
    <s v="5.5"/>
    <n v="474"/>
    <s v="CENTROAMERICA"/>
    <s v="ALMAHUE TRADICIONAL"/>
    <s v="CYL FRUITS"/>
    <s v="CMA CGM"/>
    <s v="SNG0507462"/>
    <s v="SNG0507462"/>
    <n v="46160"/>
    <m/>
    <s v="OPB SERVICIOS INTEGRALES SPA"/>
    <n v="46157"/>
    <d v="2026-05-22T00:00:00"/>
    <d v="2026-05-28T00:00:00"/>
    <x v="0"/>
  </r>
  <r>
    <s v="2025-2026"/>
    <n v="20382"/>
    <x v="0"/>
    <x v="0"/>
    <n v="21"/>
    <n v="5"/>
    <d v="2026-05-28T00:00:00"/>
    <s v="SAG"/>
    <s v="ALMAHUE EXPORT SPA"/>
    <s v="TERRA EXPORTS"/>
    <n v="56"/>
    <s v="IMPORTADORA DE FRUTAS SARANGO S.A. SARCOFRUIT"/>
    <n v="347"/>
    <s v="18567516-5"/>
    <s v="DIEGO PONCE"/>
    <s v="HFBF75"/>
    <m/>
    <s v="M5614005"/>
    <m/>
    <s v="Z120030983"/>
    <s v="Z120030983"/>
    <s v="119278"/>
    <s v="NARANJAS"/>
    <s v="OC15G02"/>
    <s v="GRANEL"/>
    <n v="15"/>
    <s v="CAT-1"/>
    <s v="CAT-1"/>
    <s v="EXPORTACION"/>
    <s v="60"/>
    <n v="80"/>
    <n v="1200"/>
    <n v="10"/>
    <m/>
    <m/>
    <m/>
    <s v="74"/>
    <m/>
    <s v="SAN ANTONIO"/>
    <s v="MARITIMO"/>
    <s v="POSORJA"/>
    <m/>
    <m/>
    <m/>
    <m/>
    <m/>
    <m/>
    <s v="CARTAGENA EXPRESS"/>
    <s v="CXRU1550178"/>
    <m/>
    <s v="ECUADOR          "/>
    <d v="2026-05-22T00:00:00"/>
    <s v="15.0"/>
    <n v="444"/>
    <m/>
    <m/>
    <m/>
    <s v="119278"/>
    <n v="118"/>
    <s v="99999"/>
    <m/>
    <s v="OPB SERVICIOS INTEGRALES SPA"/>
    <s v="M5614005"/>
    <s v="119278"/>
    <m/>
    <m/>
    <m/>
    <s v="5.5"/>
    <n v="474"/>
    <s v="CENTROAMERICA"/>
    <s v="ALMAHUE TRADICIONAL"/>
    <s v="CYL FRUITS"/>
    <s v="CMA CGM"/>
    <s v="SNG0507462"/>
    <s v="SNG0507462"/>
    <n v="46160"/>
    <m/>
    <s v="OPB SERVICIOS INTEGRALES SPA"/>
    <n v="46157"/>
    <d v="2026-05-22T00:00:00"/>
    <d v="2026-05-28T00:00:00"/>
    <x v="0"/>
  </r>
  <r>
    <s v="2025-2026"/>
    <n v="20383"/>
    <x v="0"/>
    <x v="0"/>
    <n v="21"/>
    <n v="5"/>
    <d v="2026-05-28T00:00:00"/>
    <s v="SAG"/>
    <s v="ALMAHUE EXPORT SPA"/>
    <s v="TERRA EXPORTS"/>
    <n v="56"/>
    <s v="IMPORTADORA DE FRUTAS SARANGO S.A. SARCOFRUIT"/>
    <n v="347"/>
    <s v="18567516-5"/>
    <s v="DIEGO PONCE"/>
    <s v="HFBF75"/>
    <m/>
    <s v="M5614005"/>
    <m/>
    <s v="Z120030984"/>
    <s v="Z120030984"/>
    <s v="119278"/>
    <s v="NARANJAS"/>
    <s v="OC15G02"/>
    <s v="GRANEL"/>
    <n v="15"/>
    <s v="CAT-1"/>
    <s v="CAT-1"/>
    <s v="EXPORTACION"/>
    <s v="70"/>
    <n v="80"/>
    <n v="1200"/>
    <n v="10"/>
    <m/>
    <m/>
    <m/>
    <s v="74"/>
    <m/>
    <s v="SAN ANTONIO"/>
    <s v="MARITIMO"/>
    <s v="POSORJA"/>
    <m/>
    <m/>
    <m/>
    <m/>
    <m/>
    <m/>
    <s v="CARTAGENA EXPRESS"/>
    <s v="CXRU1550178"/>
    <m/>
    <s v="ECUADOR          "/>
    <d v="2026-05-22T00:00:00"/>
    <s v="15.0"/>
    <n v="444"/>
    <m/>
    <m/>
    <m/>
    <s v="119278"/>
    <n v="118"/>
    <s v="99999"/>
    <m/>
    <s v="OPB SERVICIOS INTEGRALES SPA"/>
    <s v="M5614005"/>
    <s v="119278"/>
    <m/>
    <m/>
    <m/>
    <s v="5.5"/>
    <n v="474"/>
    <s v="CENTROAMERICA"/>
    <s v="ALMAHUE TRADICIONAL"/>
    <s v="CYL FRUITS"/>
    <s v="CMA CGM"/>
    <s v="SNG0507462"/>
    <s v="SNG0507462"/>
    <n v="46160"/>
    <m/>
    <s v="OPB SERVICIOS INTEGRALES SPA"/>
    <n v="46157"/>
    <d v="2026-05-22T00:00:00"/>
    <d v="2026-05-28T00:00:00"/>
    <x v="0"/>
  </r>
  <r>
    <s v="2025-2026"/>
    <n v="20384"/>
    <x v="0"/>
    <x v="0"/>
    <n v="21"/>
    <n v="5"/>
    <d v="2026-05-28T00:00:00"/>
    <s v="SAG"/>
    <s v="ALMAHUE EXPORT SPA"/>
    <s v="TERRA EXPORTS"/>
    <n v="56"/>
    <s v="IMPORTADORA DE FRUTAS SARANGO S.A. SARCOFRUIT"/>
    <n v="347"/>
    <s v="18567516-5"/>
    <s v="DIEGO PONCE"/>
    <s v="HFBF75"/>
    <m/>
    <s v="M5614005"/>
    <m/>
    <s v="Z120030985"/>
    <s v="Z120030985"/>
    <s v="119278"/>
    <s v="NARANJAS"/>
    <s v="OC15G02"/>
    <s v="GRANEL"/>
    <n v="15"/>
    <s v="CAT-1"/>
    <s v="CAT-1"/>
    <s v="EXPORTACION"/>
    <s v="80"/>
    <n v="80"/>
    <n v="1200"/>
    <n v="10"/>
    <m/>
    <m/>
    <m/>
    <s v="74"/>
    <m/>
    <s v="SAN ANTONIO"/>
    <s v="MARITIMO"/>
    <s v="POSORJA"/>
    <m/>
    <m/>
    <m/>
    <m/>
    <m/>
    <m/>
    <s v="CARTAGENA EXPRESS"/>
    <s v="CXRU1550178"/>
    <m/>
    <s v="ECUADOR          "/>
    <d v="2026-05-22T00:00:00"/>
    <s v="15.0"/>
    <n v="444"/>
    <m/>
    <m/>
    <m/>
    <s v="119278"/>
    <n v="118"/>
    <s v="99999"/>
    <m/>
    <s v="OPB SERVICIOS INTEGRALES SPA"/>
    <s v="M5614005"/>
    <s v="119278"/>
    <m/>
    <m/>
    <m/>
    <s v="5.5"/>
    <n v="474"/>
    <s v="CENTROAMERICA"/>
    <s v="ALMAHUE TRADICIONAL"/>
    <s v="CYL FRUITS"/>
    <s v="CMA CGM"/>
    <s v="SNG0507462"/>
    <s v="SNG0507462"/>
    <n v="46160"/>
    <m/>
    <s v="OPB SERVICIOS INTEGRALES SPA"/>
    <n v="46157"/>
    <d v="2026-05-22T00:00:00"/>
    <d v="2026-05-28T00:00:00"/>
    <x v="0"/>
  </r>
  <r>
    <s v="2025-2026"/>
    <n v="20385"/>
    <x v="0"/>
    <x v="0"/>
    <n v="21"/>
    <n v="5"/>
    <d v="2026-05-28T00:00:00"/>
    <s v="SAG"/>
    <s v="ALMAHUE EXPORT SPA"/>
    <s v="TERRA EXPORTS"/>
    <n v="56"/>
    <s v="IMPORTADORA DE FRUTAS SARANGO S.A. SARCOFRUIT"/>
    <n v="347"/>
    <s v="18567516-5"/>
    <s v="DIEGO PONCE"/>
    <s v="HFBF75"/>
    <m/>
    <s v="M5614005"/>
    <m/>
    <s v="Z120030986"/>
    <s v="Z120030986"/>
    <s v="119278"/>
    <s v="NARANJAS"/>
    <s v="OC15G02"/>
    <s v="GRANEL"/>
    <n v="15"/>
    <s v="CAT-1"/>
    <s v="CAT-1"/>
    <s v="EXPORTACION"/>
    <s v="60"/>
    <n v="80"/>
    <n v="1200"/>
    <n v="10"/>
    <m/>
    <m/>
    <m/>
    <s v="74"/>
    <m/>
    <s v="SAN ANTONIO"/>
    <s v="MARITIMO"/>
    <s v="POSORJA"/>
    <m/>
    <m/>
    <m/>
    <m/>
    <m/>
    <m/>
    <s v="CARTAGENA EXPRESS"/>
    <s v="CXRU1550178"/>
    <m/>
    <s v="ECUADOR          "/>
    <d v="2026-05-22T00:00:00"/>
    <s v="15.0"/>
    <n v="444"/>
    <m/>
    <m/>
    <m/>
    <s v="119278"/>
    <n v="118"/>
    <s v="99999"/>
    <m/>
    <s v="OPB SERVICIOS INTEGRALES SPA"/>
    <s v="M5614005"/>
    <s v="119278"/>
    <m/>
    <m/>
    <m/>
    <s v="5.5"/>
    <n v="474"/>
    <s v="CENTROAMERICA"/>
    <s v="ALMAHUE TRADICIONAL"/>
    <s v="CYL FRUITS"/>
    <s v="CMA CGM"/>
    <s v="SNG0507462"/>
    <s v="SNG0507462"/>
    <n v="46160"/>
    <m/>
    <s v="OPB SERVICIOS INTEGRALES SPA"/>
    <n v="46157"/>
    <d v="2026-05-22T00:00:00"/>
    <d v="2026-05-28T00:00:00"/>
    <x v="0"/>
  </r>
  <r>
    <s v="2025-2026"/>
    <n v="20386"/>
    <x v="0"/>
    <x v="0"/>
    <n v="21"/>
    <n v="5"/>
    <d v="2026-05-28T00:00:00"/>
    <s v="SAG"/>
    <s v="ALMAHUE EXPORT SPA"/>
    <s v="TERRA EXPORTS"/>
    <n v="56"/>
    <s v="IMPORTADORA DE FRUTAS SARANGO S.A. SARCOFRUIT"/>
    <n v="347"/>
    <s v="18567516-5"/>
    <s v="DIEGO PONCE"/>
    <s v="HFBF75"/>
    <m/>
    <s v="M5614005"/>
    <m/>
    <s v="Z120030988"/>
    <s v="Z120030988"/>
    <s v="119278"/>
    <s v="NARANJAS"/>
    <s v="OC15G02"/>
    <s v="GRANEL"/>
    <n v="15"/>
    <s v="CAT-1"/>
    <s v="CAT-1"/>
    <s v="EXPORTACION"/>
    <s v="70"/>
    <n v="80"/>
    <n v="1200"/>
    <n v="10"/>
    <m/>
    <m/>
    <m/>
    <s v="74"/>
    <m/>
    <s v="SAN ANTONIO"/>
    <s v="MARITIMO"/>
    <s v="POSORJA"/>
    <m/>
    <m/>
    <m/>
    <m/>
    <m/>
    <m/>
    <s v="CARTAGENA EXPRESS"/>
    <s v="CXRU1550178"/>
    <m/>
    <s v="ECUADOR          "/>
    <d v="2026-05-22T00:00:00"/>
    <s v="15.0"/>
    <n v="444"/>
    <m/>
    <m/>
    <m/>
    <s v="119278"/>
    <n v="118"/>
    <s v="99999"/>
    <m/>
    <s v="OPB SERVICIOS INTEGRALES SPA"/>
    <s v="M5614005"/>
    <s v="119278"/>
    <m/>
    <m/>
    <m/>
    <s v="5.5"/>
    <n v="474"/>
    <s v="CENTROAMERICA"/>
    <s v="ALMAHUE TRADICIONAL"/>
    <s v="CYL FRUITS"/>
    <s v="CMA CGM"/>
    <s v="SNG0507462"/>
    <s v="SNG0507462"/>
    <n v="46160"/>
    <m/>
    <s v="OPB SERVICIOS INTEGRALES SPA"/>
    <n v="46157"/>
    <d v="2026-05-22T00:00:00"/>
    <d v="2026-05-28T00:00:00"/>
    <x v="0"/>
  </r>
  <r>
    <s v="2025-2026"/>
    <n v="20387"/>
    <x v="0"/>
    <x v="0"/>
    <n v="21"/>
    <n v="5"/>
    <d v="2026-05-28T00:00:00"/>
    <s v="SAG"/>
    <s v="ALMAHUE EXPORT SPA"/>
    <s v="TERRA EXPORTS"/>
    <n v="56"/>
    <s v="IMPORTADORA DE FRUTAS SARANGO S.A. SARCOFRUIT"/>
    <n v="347"/>
    <s v="18567516-5"/>
    <s v="DIEGO PONCE"/>
    <s v="HFBF75"/>
    <m/>
    <s v="M5614005"/>
    <m/>
    <s v="Z120030989"/>
    <s v="Z120030989"/>
    <s v="119278"/>
    <s v="NARANJAS"/>
    <s v="OC15G02"/>
    <s v="GRANEL"/>
    <n v="15"/>
    <s v="CAT-1"/>
    <s v="CAT-1"/>
    <s v="EXPORTACION"/>
    <s v="80"/>
    <n v="80"/>
    <n v="1200"/>
    <n v="10"/>
    <m/>
    <m/>
    <m/>
    <s v="74"/>
    <m/>
    <s v="SAN ANTONIO"/>
    <s v="MARITIMO"/>
    <s v="POSORJA"/>
    <m/>
    <m/>
    <m/>
    <m/>
    <m/>
    <m/>
    <s v="CARTAGENA EXPRESS"/>
    <s v="CXRU1550178"/>
    <m/>
    <s v="ECUADOR          "/>
    <d v="2026-05-22T00:00:00"/>
    <s v="15.0"/>
    <n v="444"/>
    <m/>
    <m/>
    <m/>
    <s v="119278"/>
    <n v="118"/>
    <s v="99999"/>
    <m/>
    <s v="OPB SERVICIOS INTEGRALES SPA"/>
    <s v="M5614005"/>
    <s v="119278"/>
    <m/>
    <m/>
    <m/>
    <s v="5.5"/>
    <n v="474"/>
    <s v="CENTROAMERICA"/>
    <s v="ALMAHUE TRADICIONAL"/>
    <s v="CYL FRUITS"/>
    <s v="CMA CGM"/>
    <s v="SNG0507462"/>
    <s v="SNG0507462"/>
    <n v="46160"/>
    <m/>
    <s v="OPB SERVICIOS INTEGRALES SPA"/>
    <n v="46157"/>
    <d v="2026-05-22T00:00:00"/>
    <d v="2026-05-28T00:00:00"/>
    <x v="0"/>
  </r>
  <r>
    <s v="2025-2026"/>
    <n v="20388"/>
    <x v="0"/>
    <x v="0"/>
    <n v="21"/>
    <n v="5"/>
    <d v="2026-05-28T00:00:00"/>
    <s v="SAG"/>
    <s v="ALMAHUE EXPORT SPA"/>
    <s v="TERRA EXPORTS"/>
    <n v="56"/>
    <s v="IMPORTADORA DE FRUTAS SARANGO S.A. SARCOFRUIT"/>
    <n v="347"/>
    <s v="18567516-5"/>
    <s v="DIEGO PONCE"/>
    <s v="HFBF75"/>
    <m/>
    <s v="M5614005"/>
    <m/>
    <s v="Z120030990"/>
    <s v="Z120030990"/>
    <s v="119278"/>
    <s v="NARANJAS"/>
    <s v="OC15G02"/>
    <s v="GRANEL"/>
    <n v="15"/>
    <s v="CAT-1"/>
    <s v="CAT-1"/>
    <s v="EXPORTACION"/>
    <s v="100"/>
    <n v="80"/>
    <n v="1200"/>
    <n v="10"/>
    <m/>
    <m/>
    <m/>
    <s v="74"/>
    <m/>
    <s v="SAN ANTONIO"/>
    <s v="MARITIMO"/>
    <s v="POSORJA"/>
    <m/>
    <m/>
    <m/>
    <m/>
    <m/>
    <m/>
    <s v="CARTAGENA EXPRESS"/>
    <s v="CXRU1550178"/>
    <m/>
    <s v="ECUADOR          "/>
    <d v="2026-05-22T00:00:00"/>
    <s v="15.0"/>
    <n v="444"/>
    <m/>
    <m/>
    <m/>
    <s v="119278"/>
    <n v="118"/>
    <s v="99999"/>
    <m/>
    <s v="OPB SERVICIOS INTEGRALES SPA"/>
    <s v="M5614005"/>
    <s v="119278"/>
    <m/>
    <m/>
    <m/>
    <s v="5.5"/>
    <n v="474"/>
    <s v="CENTROAMERICA"/>
    <s v="ALMAHUE TRADICIONAL"/>
    <s v="CYL FRUITS"/>
    <s v="CMA CGM"/>
    <s v="SNG0507462"/>
    <s v="SNG0507462"/>
    <n v="46160"/>
    <m/>
    <s v="OPB SERVICIOS INTEGRALES SPA"/>
    <n v="46157"/>
    <d v="2026-05-22T00:00:00"/>
    <d v="2026-05-28T00:00:00"/>
    <x v="0"/>
  </r>
  <r>
    <s v="2025-2026"/>
    <n v="20389"/>
    <x v="0"/>
    <x v="0"/>
    <n v="21"/>
    <n v="5"/>
    <d v="2026-05-28T00:00:00"/>
    <s v="SAG"/>
    <s v="ALMAHUE EXPORT SPA"/>
    <s v="TERRA EXPORTS"/>
    <n v="56"/>
    <s v="IMPORTADORA DE FRUTAS SARANGO S.A. SARCOFRUIT"/>
    <n v="347"/>
    <s v="18567516-5"/>
    <s v="DIEGO PONCE"/>
    <s v="HFBF75"/>
    <m/>
    <s v="M5614005"/>
    <m/>
    <s v="Z120030992"/>
    <s v="Z120030992"/>
    <s v="119278"/>
    <s v="NARANJAS"/>
    <s v="OC15G02"/>
    <s v="GRANEL"/>
    <n v="15"/>
    <s v="CAT-1"/>
    <s v="CAT-1"/>
    <s v="EXPORTACION"/>
    <s v="70"/>
    <n v="80"/>
    <n v="1200"/>
    <n v="10"/>
    <m/>
    <m/>
    <m/>
    <s v="74"/>
    <m/>
    <s v="SAN ANTONIO"/>
    <s v="MARITIMO"/>
    <s v="POSORJA"/>
    <m/>
    <m/>
    <m/>
    <m/>
    <m/>
    <m/>
    <s v="CARTAGENA EXPRESS"/>
    <s v="CXRU1550178"/>
    <m/>
    <s v="ECUADOR          "/>
    <d v="2026-05-22T00:00:00"/>
    <s v="15.0"/>
    <n v="444"/>
    <m/>
    <m/>
    <m/>
    <s v="119278"/>
    <n v="118"/>
    <s v="99999"/>
    <m/>
    <s v="OPB SERVICIOS INTEGRALES SPA"/>
    <s v="M5614005"/>
    <s v="119278"/>
    <m/>
    <m/>
    <m/>
    <s v="5.5"/>
    <n v="474"/>
    <s v="CENTROAMERICA"/>
    <s v="ALMAHUE TRADICIONAL"/>
    <s v="CYL FRUITS"/>
    <s v="CMA CGM"/>
    <s v="SNG0507462"/>
    <s v="SNG0507462"/>
    <n v="46160"/>
    <m/>
    <s v="OPB SERVICIOS INTEGRALES SPA"/>
    <n v="46157"/>
    <d v="2026-05-22T00:00:00"/>
    <d v="2026-05-28T00:00:00"/>
    <x v="0"/>
  </r>
  <r>
    <s v="2025-2026"/>
    <n v="20390"/>
    <x v="0"/>
    <x v="0"/>
    <n v="21"/>
    <n v="5"/>
    <d v="2026-05-28T00:00:00"/>
    <s v="SAG"/>
    <s v="ALMAHUE EXPORT SPA"/>
    <s v="TERRA EXPORTS"/>
    <n v="56"/>
    <s v="IMPORTADORA DE FRUTAS SARANGO S.A. SARCOFRUIT"/>
    <n v="347"/>
    <s v="18567516-5"/>
    <s v="DIEGO PONCE"/>
    <s v="HFBF75"/>
    <m/>
    <s v="M5614005"/>
    <m/>
    <s v="Z120030993"/>
    <s v="Z120030993"/>
    <s v="119278"/>
    <s v="NARANJAS"/>
    <s v="OC15G02"/>
    <s v="GRANEL"/>
    <n v="15"/>
    <s v="CAT-1"/>
    <s v="CAT-1"/>
    <s v="EXPORTACION"/>
    <s v="80"/>
    <n v="80"/>
    <n v="1200"/>
    <n v="10"/>
    <m/>
    <m/>
    <m/>
    <s v="74"/>
    <m/>
    <s v="SAN ANTONIO"/>
    <s v="MARITIMO"/>
    <s v="POSORJA"/>
    <m/>
    <m/>
    <m/>
    <m/>
    <m/>
    <m/>
    <s v="CARTAGENA EXPRESS"/>
    <s v="CXRU1550178"/>
    <m/>
    <s v="ECUADOR          "/>
    <d v="2026-05-22T00:00:00"/>
    <s v="15.0"/>
    <n v="444"/>
    <m/>
    <m/>
    <m/>
    <s v="119278"/>
    <n v="118"/>
    <s v="99999"/>
    <m/>
    <s v="OPB SERVICIOS INTEGRALES SPA"/>
    <s v="M5614005"/>
    <s v="119278"/>
    <m/>
    <m/>
    <m/>
    <s v="5.5"/>
    <n v="474"/>
    <s v="CENTROAMERICA"/>
    <s v="ALMAHUE TRADICIONAL"/>
    <s v="CYL FRUITS"/>
    <s v="CMA CGM"/>
    <s v="SNG0507462"/>
    <s v="SNG0507462"/>
    <n v="46160"/>
    <m/>
    <s v="OPB SERVICIOS INTEGRALES SPA"/>
    <n v="46157"/>
    <d v="2026-05-22T00:00:00"/>
    <d v="2026-05-28T00:00:00"/>
    <x v="0"/>
  </r>
  <r>
    <s v="2025-2026"/>
    <n v="20391"/>
    <x v="0"/>
    <x v="0"/>
    <n v="21"/>
    <n v="5"/>
    <d v="2026-05-28T00:00:00"/>
    <s v="SAG"/>
    <s v="ALMAHUE EXPORT SPA"/>
    <s v="TERRA EXPORTS"/>
    <n v="56"/>
    <s v="IMPORTADORA DE FRUTAS SARANGO S.A. SARCOFRUIT"/>
    <n v="347"/>
    <s v="18567516-5"/>
    <s v="DIEGO PONCE"/>
    <s v="HFBF75"/>
    <m/>
    <s v="M5614005"/>
    <m/>
    <s v="Z120030994"/>
    <s v="Z120030994"/>
    <s v="119278"/>
    <s v="NARANJAS"/>
    <s v="OC15G02"/>
    <s v="GRANEL"/>
    <n v="15"/>
    <s v="CAT-1"/>
    <s v="CAT-1"/>
    <s v="EXPORTACION"/>
    <s v="70"/>
    <n v="80"/>
    <n v="1200"/>
    <n v="10"/>
    <m/>
    <m/>
    <m/>
    <s v="74"/>
    <m/>
    <s v="SAN ANTONIO"/>
    <s v="MARITIMO"/>
    <s v="POSORJA"/>
    <m/>
    <m/>
    <m/>
    <m/>
    <m/>
    <m/>
    <s v="CARTAGENA EXPRESS"/>
    <s v="CXRU1550178"/>
    <m/>
    <s v="ECUADOR          "/>
    <d v="2026-05-22T00:00:00"/>
    <s v="15.0"/>
    <n v="444"/>
    <m/>
    <m/>
    <m/>
    <s v="119278"/>
    <n v="118"/>
    <s v="99999"/>
    <m/>
    <s v="OPB SERVICIOS INTEGRALES SPA"/>
    <s v="M5614005"/>
    <s v="119278"/>
    <m/>
    <m/>
    <m/>
    <s v="5.5"/>
    <n v="474"/>
    <s v="CENTROAMERICA"/>
    <s v="ALMAHUE TRADICIONAL"/>
    <s v="CYL FRUITS"/>
    <s v="CMA CGM"/>
    <s v="SNG0507462"/>
    <s v="SNG0507462"/>
    <n v="46160"/>
    <m/>
    <s v="OPB SERVICIOS INTEGRALES SPA"/>
    <n v="46157"/>
    <d v="2026-05-22T00:00:00"/>
    <d v="2026-05-28T00:00:00"/>
    <x v="0"/>
  </r>
  <r>
    <s v="2025-2026"/>
    <n v="20392"/>
    <x v="0"/>
    <x v="0"/>
    <n v="21"/>
    <n v="5"/>
    <d v="2026-05-28T00:00:00"/>
    <s v="SAG"/>
    <s v="ALMAHUE EXPORT SPA"/>
    <s v="TERRA EXPORTS"/>
    <n v="56"/>
    <s v="IMPORTADORA DE FRUTAS SARANGO S.A. SARCOFRUIT"/>
    <n v="347"/>
    <s v="18567516-5"/>
    <s v="DIEGO PONCE"/>
    <s v="HFBF75"/>
    <m/>
    <s v="M5614005"/>
    <m/>
    <s v="Z120030995"/>
    <s v="Z120030995"/>
    <s v="119278"/>
    <s v="NARANJAS"/>
    <s v="OC15G02"/>
    <s v="GRANEL"/>
    <n v="15"/>
    <s v="CAT-1"/>
    <s v="CAT-1"/>
    <s v="EXPORTACION"/>
    <s v="80"/>
    <n v="80"/>
    <n v="1200"/>
    <n v="10"/>
    <m/>
    <m/>
    <m/>
    <s v="74"/>
    <m/>
    <s v="SAN ANTONIO"/>
    <s v="MARITIMO"/>
    <s v="POSORJA"/>
    <m/>
    <m/>
    <m/>
    <m/>
    <m/>
    <m/>
    <s v="CARTAGENA EXPRESS"/>
    <s v="CXRU1550178"/>
    <m/>
    <s v="ECUADOR          "/>
    <d v="2026-05-22T00:00:00"/>
    <s v="15.0"/>
    <n v="444"/>
    <m/>
    <m/>
    <m/>
    <s v="119278"/>
    <n v="118"/>
    <s v="99999"/>
    <m/>
    <s v="OPB SERVICIOS INTEGRALES SPA"/>
    <s v="M5614005"/>
    <s v="119278"/>
    <m/>
    <m/>
    <m/>
    <s v="5.5"/>
    <n v="474"/>
    <s v="CENTROAMERICA"/>
    <s v="ALMAHUE TRADICIONAL"/>
    <s v="CYL FRUITS"/>
    <s v="CMA CGM"/>
    <s v="SNG0507462"/>
    <s v="SNG0507462"/>
    <n v="46160"/>
    <m/>
    <s v="OPB SERVICIOS INTEGRALES SPA"/>
    <n v="46157"/>
    <d v="2026-05-22T00:00:00"/>
    <d v="2026-05-28T00:00:00"/>
    <x v="0"/>
  </r>
  <r>
    <s v="2025-2026"/>
    <n v="20393"/>
    <x v="0"/>
    <x v="0"/>
    <n v="21"/>
    <n v="5"/>
    <d v="2026-05-28T00:00:00"/>
    <s v="SAG"/>
    <s v="ALMAHUE EXPORT SPA"/>
    <s v="TERRA EXPORTS"/>
    <n v="56"/>
    <s v="IMPORTADORA DE FRUTAS SARANGO S.A. SARCOFRUIT"/>
    <n v="347"/>
    <s v="18567516-5"/>
    <s v="DIEGO PONCE"/>
    <s v="HFBF75"/>
    <m/>
    <s v="M5614005"/>
    <m/>
    <s v="Z120030996"/>
    <s v="Z120030996"/>
    <s v="119278"/>
    <s v="NARANJAS"/>
    <s v="OC15G02"/>
    <s v="GRANEL"/>
    <n v="15"/>
    <s v="CAT-1"/>
    <s v="CAT-1"/>
    <s v="EXPORTACION"/>
    <s v="70"/>
    <n v="80"/>
    <n v="1200"/>
    <n v="10"/>
    <m/>
    <m/>
    <m/>
    <s v="74"/>
    <m/>
    <s v="SAN ANTONIO"/>
    <s v="MARITIMO"/>
    <s v="POSORJA"/>
    <m/>
    <m/>
    <m/>
    <m/>
    <m/>
    <m/>
    <s v="CARTAGENA EXPRESS"/>
    <s v="CXRU1550178"/>
    <m/>
    <s v="ECUADOR          "/>
    <d v="2026-05-22T00:00:00"/>
    <s v="15.0"/>
    <n v="444"/>
    <m/>
    <m/>
    <m/>
    <s v="119278"/>
    <n v="118"/>
    <s v="99999"/>
    <m/>
    <s v="OPB SERVICIOS INTEGRALES SPA"/>
    <s v="M5614005"/>
    <s v="119278"/>
    <m/>
    <m/>
    <m/>
    <s v="5.5"/>
    <n v="474"/>
    <s v="CENTROAMERICA"/>
    <s v="ALMAHUE TRADICIONAL"/>
    <s v="CYL FRUITS"/>
    <s v="CMA CGM"/>
    <s v="SNG0507462"/>
    <s v="SNG0507462"/>
    <n v="46160"/>
    <m/>
    <s v="OPB SERVICIOS INTEGRALES SPA"/>
    <n v="46157"/>
    <d v="2026-05-22T00:00:00"/>
    <d v="2026-05-28T00:00:00"/>
    <x v="0"/>
  </r>
  <r>
    <s v="2025-2026"/>
    <n v="20394"/>
    <x v="0"/>
    <x v="0"/>
    <n v="21"/>
    <n v="5"/>
    <d v="2026-05-28T00:00:00"/>
    <s v="SAG"/>
    <s v="ALMAHUE EXPORT SPA"/>
    <s v="TERRA EXPORTS"/>
    <n v="56"/>
    <s v="IMPORTADORA DE FRUTAS SARANGO S.A. SARCOFRUIT"/>
    <n v="347"/>
    <s v="18567516-5"/>
    <s v="DIEGO PONCE"/>
    <s v="HFBF75"/>
    <m/>
    <s v="M5614005"/>
    <m/>
    <s v="Z120030997"/>
    <s v="Z120030997"/>
    <s v="119278"/>
    <s v="NARANJAS"/>
    <s v="OC15G02"/>
    <s v="GRANEL"/>
    <n v="15"/>
    <s v="CAT-1"/>
    <s v="CAT-1"/>
    <s v="EXPORTACION"/>
    <s v="60"/>
    <n v="80"/>
    <n v="1200"/>
    <n v="10"/>
    <m/>
    <m/>
    <m/>
    <s v="74"/>
    <m/>
    <s v="SAN ANTONIO"/>
    <s v="MARITIMO"/>
    <s v="POSORJA"/>
    <m/>
    <m/>
    <m/>
    <m/>
    <m/>
    <m/>
    <s v="CARTAGENA EXPRESS"/>
    <s v="CXRU1550178"/>
    <m/>
    <s v="ECUADOR          "/>
    <d v="2026-05-22T00:00:00"/>
    <s v="15.0"/>
    <n v="444"/>
    <m/>
    <m/>
    <m/>
    <s v="119278"/>
    <n v="118"/>
    <s v="99999"/>
    <m/>
    <s v="OPB SERVICIOS INTEGRALES SPA"/>
    <s v="M5614005"/>
    <s v="119278"/>
    <m/>
    <m/>
    <m/>
    <s v="5.5"/>
    <n v="474"/>
    <s v="CENTROAMERICA"/>
    <s v="ALMAHUE TRADICIONAL"/>
    <s v="CYL FRUITS"/>
    <s v="CMA CGM"/>
    <s v="SNG0507462"/>
    <s v="SNG0507462"/>
    <n v="46160"/>
    <m/>
    <s v="OPB SERVICIOS INTEGRALES SPA"/>
    <n v="46157"/>
    <d v="2026-05-22T00:00:00"/>
    <d v="2026-05-28T00:00:00"/>
    <x v="0"/>
  </r>
  <r>
    <s v="2025-2026"/>
    <n v="20395"/>
    <x v="0"/>
    <x v="0"/>
    <n v="21"/>
    <n v="5"/>
    <d v="2026-05-28T00:00:00"/>
    <s v="SAG"/>
    <s v="ALMAHUE EXPORT SPA"/>
    <s v="TERRA EXPORTS"/>
    <n v="56"/>
    <s v="IMPORTADORA DE FRUTAS SARANGO S.A. SARCOFRUIT"/>
    <n v="347"/>
    <s v="18567516-5"/>
    <s v="DIEGO PONCE"/>
    <s v="HFBF75"/>
    <m/>
    <s v="M5614005"/>
    <m/>
    <s v="Z120030998"/>
    <s v="Z120030998"/>
    <s v="119278"/>
    <s v="NARANJAS"/>
    <s v="OC15G02"/>
    <s v="GRANEL"/>
    <n v="15"/>
    <s v="CAT-1"/>
    <s v="CAT-1"/>
    <s v="EXPORTACION"/>
    <s v="80"/>
    <n v="80"/>
    <n v="1200"/>
    <n v="10"/>
    <m/>
    <m/>
    <m/>
    <s v="74"/>
    <m/>
    <s v="SAN ANTONIO"/>
    <s v="MARITIMO"/>
    <s v="POSORJA"/>
    <m/>
    <m/>
    <m/>
    <m/>
    <m/>
    <m/>
    <s v="CARTAGENA EXPRESS"/>
    <s v="CXRU1550178"/>
    <m/>
    <s v="ECUADOR          "/>
    <d v="2026-05-22T00:00:00"/>
    <s v="15.0"/>
    <n v="444"/>
    <m/>
    <m/>
    <m/>
    <s v="119278"/>
    <n v="118"/>
    <s v="99999"/>
    <m/>
    <s v="OPB SERVICIOS INTEGRALES SPA"/>
    <s v="M5614005"/>
    <s v="119278"/>
    <m/>
    <m/>
    <m/>
    <s v="5.5"/>
    <n v="474"/>
    <s v="CENTROAMERICA"/>
    <s v="ALMAHUE TRADICIONAL"/>
    <s v="CYL FRUITS"/>
    <s v="CMA CGM"/>
    <s v="SNG0507462"/>
    <s v="SNG0507462"/>
    <n v="46160"/>
    <m/>
    <s v="OPB SERVICIOS INTEGRALES SPA"/>
    <n v="46157"/>
    <d v="2026-05-22T00:00:00"/>
    <d v="2026-05-28T00:00:00"/>
    <x v="0"/>
  </r>
  <r>
    <s v="2025-2026"/>
    <n v="20396"/>
    <x v="1"/>
    <x v="1"/>
    <n v="21"/>
    <n v="5"/>
    <d v="2026-06-15T00:00:00"/>
    <s v="SAG"/>
    <s v="ALMAHUE EXPORT SPA"/>
    <s v="NAP"/>
    <n v="11"/>
    <s v="NORTH AMERICAN PRODUCE BUYERS LTD"/>
    <n v="346"/>
    <s v="17.092.086-4"/>
    <s v="PATRICIO ARAVENA"/>
    <s v="KPXJ71"/>
    <m/>
    <s v="FX41524908"/>
    <m/>
    <s v="Z120030916"/>
    <s v="Z120030916"/>
    <s v="119278"/>
    <s v="NARANJAS"/>
    <s v="OC15OT10"/>
    <s v="CANADA"/>
    <n v="15"/>
    <s v="CAT-1"/>
    <s v="CAT-1"/>
    <s v="EXPORTACION"/>
    <s v="40"/>
    <n v="36"/>
    <n v="540"/>
    <n v="10"/>
    <m/>
    <m/>
    <m/>
    <s v="13570"/>
    <m/>
    <s v="VALPARAISO"/>
    <s v="MARITIMO"/>
    <s v="TORONTO"/>
    <m/>
    <m/>
    <m/>
    <m/>
    <m/>
    <m/>
    <s v="MSC EDNA"/>
    <s v="TTNU8356260"/>
    <m/>
    <s v="CANADA  "/>
    <d v="2026-05-24T00:00:00"/>
    <s v="15.0"/>
    <n v="446"/>
    <m/>
    <m/>
    <m/>
    <s v="119278"/>
    <n v="19"/>
    <s v="91406"/>
    <m/>
    <s v="OPB SERVICIOS INTEGRALES SPA"/>
    <s v="FX41524908"/>
    <s v="119278"/>
    <m/>
    <m/>
    <m/>
    <s v="5.5"/>
    <n v="476"/>
    <s v="NORTEAMERICA"/>
    <s v="OPEN TOP"/>
    <s v="CHAMONATE SPA"/>
    <s v="MSC"/>
    <s v="070ISA1237483"/>
    <s v="MEDUW9418411"/>
    <n v="46164"/>
    <m/>
    <s v="OPB SERVICIOS INTEGRALES SPA"/>
    <n v="46160"/>
    <d v="2026-05-24T00:00:00"/>
    <d v="2026-06-15T00:00:00"/>
    <x v="1"/>
  </r>
  <r>
    <s v="2025-2026"/>
    <n v="20397"/>
    <x v="1"/>
    <x v="1"/>
    <n v="21"/>
    <n v="5"/>
    <d v="2026-06-15T00:00:00"/>
    <s v="SAG"/>
    <s v="ALMAHUE EXPORT SPA"/>
    <s v="NAP"/>
    <n v="11"/>
    <s v="NORTH AMERICAN PRODUCE BUYERS LTD"/>
    <n v="346"/>
    <s v="17.092.086-4"/>
    <s v="PATRICIO ARAVENA"/>
    <s v="KPXJ71"/>
    <m/>
    <s v="FX41524908"/>
    <m/>
    <s v="Z120030916"/>
    <s v="Z120030916"/>
    <s v="119278"/>
    <s v="NARANJAS"/>
    <s v="OC15OT10"/>
    <s v="CANADA"/>
    <n v="15"/>
    <s v="CAT-1"/>
    <s v="CAT-1"/>
    <s v="EXPORTACION"/>
    <s v="40"/>
    <n v="24"/>
    <n v="360"/>
    <n v="10"/>
    <m/>
    <m/>
    <m/>
    <s v="13570"/>
    <m/>
    <s v="VALPARAISO"/>
    <s v="MARITIMO"/>
    <s v="TORONTO"/>
    <m/>
    <m/>
    <m/>
    <m/>
    <m/>
    <m/>
    <s v="MSC EDNA"/>
    <s v="TTNU8356260"/>
    <m/>
    <s v="CANADA  "/>
    <d v="2026-05-24T00:00:00"/>
    <s v="15.0"/>
    <n v="446"/>
    <m/>
    <m/>
    <m/>
    <s v="119278"/>
    <n v="19"/>
    <s v="91406"/>
    <m/>
    <s v="OPB SERVICIOS INTEGRALES SPA"/>
    <s v="FX41524908"/>
    <s v="119278"/>
    <m/>
    <m/>
    <m/>
    <s v="5.5"/>
    <n v="476"/>
    <s v="NORTEAMERICA"/>
    <s v="OPEN TOP"/>
    <s v="CHAMONATE SPA"/>
    <s v="MSC"/>
    <s v="070ISA1237483"/>
    <s v="MEDUW9418411"/>
    <n v="46164"/>
    <m/>
    <s v="OPB SERVICIOS INTEGRALES SPA"/>
    <n v="46160"/>
    <d v="2026-05-24T00:00:00"/>
    <d v="2026-06-15T00:00:00"/>
    <x v="1"/>
  </r>
  <r>
    <s v="2025-2026"/>
    <n v="20398"/>
    <x v="1"/>
    <x v="1"/>
    <n v="21"/>
    <n v="5"/>
    <d v="2026-06-15T00:00:00"/>
    <s v="SAG"/>
    <s v="ALMAHUE EXPORT SPA"/>
    <s v="NAP"/>
    <n v="11"/>
    <s v="NORTH AMERICAN PRODUCE BUYERS LTD"/>
    <n v="346"/>
    <s v="17.092.086-4"/>
    <s v="PATRICIO ARAVENA"/>
    <s v="KPXJ71"/>
    <m/>
    <s v="FX41524908"/>
    <m/>
    <s v="Z120030918"/>
    <s v="Z120030918"/>
    <s v="119278"/>
    <s v="NARANJAS"/>
    <s v="OC15OT10"/>
    <s v="CANADA"/>
    <n v="15"/>
    <s v="CAT-1"/>
    <s v="CAT-1"/>
    <s v="EXPORTACION"/>
    <s v="50"/>
    <n v="60"/>
    <n v="900"/>
    <n v="10"/>
    <m/>
    <m/>
    <m/>
    <s v="13570"/>
    <m/>
    <s v="VALPARAISO"/>
    <s v="MARITIMO"/>
    <s v="TORONTO"/>
    <m/>
    <m/>
    <m/>
    <m/>
    <m/>
    <m/>
    <s v="MSC EDNA"/>
    <s v="TTNU8356260"/>
    <m/>
    <s v="CANADA  "/>
    <d v="2026-05-24T00:00:00"/>
    <s v="15.0"/>
    <n v="446"/>
    <m/>
    <m/>
    <m/>
    <s v="119278"/>
    <n v="19"/>
    <s v="91406"/>
    <m/>
    <s v="OPB SERVICIOS INTEGRALES SPA"/>
    <s v="FX41524908"/>
    <s v="119278"/>
    <m/>
    <m/>
    <m/>
    <s v="5.5"/>
    <n v="476"/>
    <s v="NORTEAMERICA"/>
    <s v="OPEN TOP"/>
    <s v="CHAMONATE SPA"/>
    <s v="MSC"/>
    <s v="070ISA1237483"/>
    <s v="MEDUW9418411"/>
    <n v="46164"/>
    <m/>
    <s v="OPB SERVICIOS INTEGRALES SPA"/>
    <n v="46160"/>
    <d v="2026-05-24T00:00:00"/>
    <d v="2026-06-15T00:00:00"/>
    <x v="1"/>
  </r>
  <r>
    <s v="2025-2026"/>
    <n v="20399"/>
    <x v="1"/>
    <x v="1"/>
    <n v="21"/>
    <n v="5"/>
    <d v="2026-06-15T00:00:00"/>
    <s v="SAG"/>
    <s v="ALMAHUE EXPORT SPA"/>
    <s v="NAP"/>
    <n v="11"/>
    <s v="NORTH AMERICAN PRODUCE BUYERS LTD"/>
    <n v="346"/>
    <s v="17.092.086-4"/>
    <s v="PATRICIO ARAVENA"/>
    <s v="KPXJ71"/>
    <m/>
    <s v="FX41524908"/>
    <m/>
    <s v="Z120030921"/>
    <s v="Z120030921"/>
    <s v="119278"/>
    <s v="NARANJAS"/>
    <s v="OC15OT10"/>
    <s v="CANADA"/>
    <n v="15"/>
    <s v="CAT-1"/>
    <s v="CAT-1"/>
    <s v="EXPORTACION"/>
    <s v="40"/>
    <n v="60"/>
    <n v="900"/>
    <n v="10"/>
    <m/>
    <m/>
    <m/>
    <s v="13570"/>
    <m/>
    <s v="VALPARAISO"/>
    <s v="MARITIMO"/>
    <s v="TORONTO"/>
    <m/>
    <m/>
    <m/>
    <m/>
    <m/>
    <m/>
    <s v="MSC EDNA"/>
    <s v="TTNU8356260"/>
    <m/>
    <s v="CANADA  "/>
    <d v="2026-05-24T00:00:00"/>
    <s v="15.0"/>
    <n v="446"/>
    <m/>
    <m/>
    <m/>
    <s v="119278"/>
    <n v="19"/>
    <s v="91406"/>
    <m/>
    <s v="OPB SERVICIOS INTEGRALES SPA"/>
    <s v="FX41524908"/>
    <s v="119278"/>
    <m/>
    <m/>
    <m/>
    <s v="5.5"/>
    <n v="476"/>
    <s v="NORTEAMERICA"/>
    <s v="OPEN TOP"/>
    <s v="CHAMONATE SPA"/>
    <s v="MSC"/>
    <s v="070ISA1237483"/>
    <s v="MEDUW9418411"/>
    <n v="46164"/>
    <m/>
    <s v="OPB SERVICIOS INTEGRALES SPA"/>
    <n v="46160"/>
    <d v="2026-05-24T00:00:00"/>
    <d v="2026-06-15T00:00:00"/>
    <x v="1"/>
  </r>
  <r>
    <s v="2025-2026"/>
    <n v="20400"/>
    <x v="1"/>
    <x v="1"/>
    <n v="21"/>
    <n v="5"/>
    <d v="2026-06-15T00:00:00"/>
    <s v="SAG"/>
    <s v="ALMAHUE EXPORT SPA"/>
    <s v="NAP"/>
    <n v="11"/>
    <s v="NORTH AMERICAN PRODUCE BUYERS LTD"/>
    <n v="346"/>
    <s v="17.092.086-4"/>
    <s v="PATRICIO ARAVENA"/>
    <s v="KPXJ71"/>
    <m/>
    <s v="FX41524908"/>
    <m/>
    <s v="Z120030923"/>
    <s v="Z120030923"/>
    <s v="119278"/>
    <s v="NARANJAS"/>
    <s v="OC15OT10"/>
    <s v="CANADA"/>
    <n v="15"/>
    <s v="CAT-1"/>
    <s v="CAT-1"/>
    <s v="EXPORTACION"/>
    <s v="50"/>
    <n v="60"/>
    <n v="900"/>
    <n v="10"/>
    <m/>
    <m/>
    <m/>
    <s v="13570"/>
    <m/>
    <s v="VALPARAISO"/>
    <s v="MARITIMO"/>
    <s v="TORONTO"/>
    <m/>
    <m/>
    <m/>
    <m/>
    <m/>
    <m/>
    <s v="MSC EDNA"/>
    <s v="TTNU8356260"/>
    <m/>
    <s v="CANADA  "/>
    <d v="2026-05-24T00:00:00"/>
    <s v="15.0"/>
    <n v="446"/>
    <m/>
    <m/>
    <m/>
    <s v="119278"/>
    <n v="19"/>
    <s v="91406"/>
    <m/>
    <s v="OPB SERVICIOS INTEGRALES SPA"/>
    <s v="FX41524908"/>
    <s v="119278"/>
    <m/>
    <m/>
    <m/>
    <s v="5.5"/>
    <n v="476"/>
    <s v="NORTEAMERICA"/>
    <s v="OPEN TOP"/>
    <s v="CHAMONATE SPA"/>
    <s v="MSC"/>
    <s v="070ISA1237483"/>
    <s v="MEDUW9418411"/>
    <n v="46164"/>
    <m/>
    <s v="OPB SERVICIOS INTEGRALES SPA"/>
    <n v="46160"/>
    <d v="2026-05-24T00:00:00"/>
    <d v="2026-06-15T00:00:00"/>
    <x v="1"/>
  </r>
  <r>
    <s v="2025-2026"/>
    <n v="20401"/>
    <x v="1"/>
    <x v="1"/>
    <n v="21"/>
    <n v="5"/>
    <d v="2026-06-15T00:00:00"/>
    <s v="SAG"/>
    <s v="ALMAHUE EXPORT SPA"/>
    <s v="NAP"/>
    <n v="11"/>
    <s v="NORTH AMERICAN PRODUCE BUYERS LTD"/>
    <n v="346"/>
    <s v="17.092.086-4"/>
    <s v="PATRICIO ARAVENA"/>
    <s v="KPXJ71"/>
    <m/>
    <s v="FX41524908"/>
    <m/>
    <s v="Z120030925"/>
    <s v="Z120030925"/>
    <s v="119278"/>
    <s v="NARANJAS"/>
    <s v="OC15OT10"/>
    <s v="CANADA"/>
    <n v="15"/>
    <s v="CAT-1"/>
    <s v="CAT-1"/>
    <s v="EXPORTACION"/>
    <s v="50"/>
    <n v="60"/>
    <n v="900"/>
    <n v="10"/>
    <m/>
    <m/>
    <m/>
    <s v="13570"/>
    <m/>
    <s v="VALPARAISO"/>
    <s v="MARITIMO"/>
    <s v="TORONTO"/>
    <m/>
    <m/>
    <m/>
    <m/>
    <m/>
    <m/>
    <s v="MSC EDNA"/>
    <s v="TTNU8356260"/>
    <m/>
    <s v="CANADA  "/>
    <d v="2026-05-24T00:00:00"/>
    <s v="15.0"/>
    <n v="446"/>
    <m/>
    <m/>
    <m/>
    <s v="119278"/>
    <n v="19"/>
    <s v="91406"/>
    <m/>
    <s v="OPB SERVICIOS INTEGRALES SPA"/>
    <s v="FX41524908"/>
    <s v="119278"/>
    <m/>
    <m/>
    <m/>
    <s v="5.5"/>
    <n v="476"/>
    <s v="NORTEAMERICA"/>
    <s v="OPEN TOP"/>
    <s v="CHAMONATE SPA"/>
    <s v="MSC"/>
    <s v="070ISA1237483"/>
    <s v="MEDUW9418411"/>
    <n v="46164"/>
    <m/>
    <s v="OPB SERVICIOS INTEGRALES SPA"/>
    <n v="46160"/>
    <d v="2026-05-24T00:00:00"/>
    <d v="2026-06-15T00:00:00"/>
    <x v="1"/>
  </r>
  <r>
    <s v="2025-2026"/>
    <n v="20402"/>
    <x v="1"/>
    <x v="1"/>
    <n v="21"/>
    <n v="5"/>
    <d v="2026-06-15T00:00:00"/>
    <s v="SAG"/>
    <s v="ALMAHUE EXPORT SPA"/>
    <s v="NAP"/>
    <n v="11"/>
    <s v="NORTH AMERICAN PRODUCE BUYERS LTD"/>
    <n v="346"/>
    <s v="17.092.086-4"/>
    <s v="PATRICIO ARAVENA"/>
    <s v="KPXJ71"/>
    <m/>
    <s v="FX41524908"/>
    <m/>
    <s v="Z120030926"/>
    <s v="Z120030926"/>
    <s v="119278"/>
    <s v="NARANJAS"/>
    <s v="OC15OT10"/>
    <s v="CANADA"/>
    <n v="15"/>
    <s v="CAT-1"/>
    <s v="CAT-1"/>
    <s v="EXPORTACION"/>
    <s v="50"/>
    <n v="60"/>
    <n v="900"/>
    <n v="10"/>
    <m/>
    <m/>
    <m/>
    <s v="13570"/>
    <m/>
    <s v="VALPARAISO"/>
    <s v="MARITIMO"/>
    <s v="TORONTO"/>
    <m/>
    <m/>
    <m/>
    <m/>
    <m/>
    <m/>
    <s v="MSC EDNA"/>
    <s v="TTNU8356260"/>
    <m/>
    <s v="CANADA  "/>
    <d v="2026-05-24T00:00:00"/>
    <s v="15.0"/>
    <n v="446"/>
    <m/>
    <m/>
    <m/>
    <s v="119278"/>
    <n v="19"/>
    <s v="91406"/>
    <m/>
    <s v="OPB SERVICIOS INTEGRALES SPA"/>
    <s v="FX41524908"/>
    <s v="119278"/>
    <m/>
    <m/>
    <m/>
    <s v="5.5"/>
    <n v="476"/>
    <s v="NORTEAMERICA"/>
    <s v="OPEN TOP"/>
    <s v="CHAMONATE SPA"/>
    <s v="MSC"/>
    <s v="070ISA1237483"/>
    <s v="MEDUW9418411"/>
    <n v="46164"/>
    <m/>
    <s v="OPB SERVICIOS INTEGRALES SPA"/>
    <n v="46160"/>
    <d v="2026-05-24T00:00:00"/>
    <d v="2026-06-15T00:00:00"/>
    <x v="1"/>
  </r>
  <r>
    <s v="2025-2026"/>
    <n v="20403"/>
    <x v="1"/>
    <x v="1"/>
    <n v="21"/>
    <n v="5"/>
    <d v="2026-06-15T00:00:00"/>
    <s v="SAG"/>
    <s v="ALMAHUE EXPORT SPA"/>
    <s v="NAP"/>
    <n v="11"/>
    <s v="NORTH AMERICAN PRODUCE BUYERS LTD"/>
    <n v="346"/>
    <s v="17.092.086-4"/>
    <s v="PATRICIO ARAVENA"/>
    <s v="KPXJ71"/>
    <m/>
    <s v="FX41524908"/>
    <m/>
    <s v="Z120030929"/>
    <s v="Z120030929"/>
    <s v="119278"/>
    <s v="NARANJAS"/>
    <s v="OC15OT10"/>
    <s v="CANADA"/>
    <n v="15"/>
    <s v="CAT-1"/>
    <s v="CAT-1"/>
    <s v="EXPORTACION"/>
    <s v="40"/>
    <n v="60"/>
    <n v="900"/>
    <n v="10"/>
    <m/>
    <m/>
    <m/>
    <s v="13570"/>
    <m/>
    <s v="VALPARAISO"/>
    <s v="MARITIMO"/>
    <s v="TORONTO"/>
    <m/>
    <m/>
    <m/>
    <m/>
    <m/>
    <m/>
    <s v="MSC EDNA"/>
    <s v="TTNU8356260"/>
    <m/>
    <s v="CANADA  "/>
    <d v="2026-05-24T00:00:00"/>
    <s v="15.0"/>
    <n v="446"/>
    <m/>
    <m/>
    <m/>
    <s v="119278"/>
    <n v="19"/>
    <s v="91406"/>
    <m/>
    <s v="OPB SERVICIOS INTEGRALES SPA"/>
    <s v="FX41524908"/>
    <s v="119278"/>
    <m/>
    <m/>
    <m/>
    <s v="5.5"/>
    <n v="476"/>
    <s v="NORTEAMERICA"/>
    <s v="OPEN TOP"/>
    <s v="CHAMONATE SPA"/>
    <s v="MSC"/>
    <s v="070ISA1237483"/>
    <s v="MEDUW9418411"/>
    <n v="46164"/>
    <m/>
    <s v="OPB SERVICIOS INTEGRALES SPA"/>
    <n v="46160"/>
    <d v="2026-05-24T00:00:00"/>
    <d v="2026-06-15T00:00:00"/>
    <x v="1"/>
  </r>
  <r>
    <s v="2025-2026"/>
    <n v="20404"/>
    <x v="1"/>
    <x v="1"/>
    <n v="21"/>
    <n v="5"/>
    <d v="2026-06-15T00:00:00"/>
    <s v="SAG"/>
    <s v="ALMAHUE EXPORT SPA"/>
    <s v="NAP"/>
    <n v="11"/>
    <s v="NORTH AMERICAN PRODUCE BUYERS LTD"/>
    <n v="346"/>
    <s v="17.092.086-4"/>
    <s v="PATRICIO ARAVENA"/>
    <s v="KPXJ71"/>
    <m/>
    <s v="FX41524908"/>
    <m/>
    <s v="Z120030932"/>
    <s v="Z120030932"/>
    <s v="119278"/>
    <s v="NARANJAS"/>
    <s v="OC15OT10"/>
    <s v="CANADA"/>
    <n v="15"/>
    <s v="CAT-1"/>
    <s v="CAT-1"/>
    <s v="EXPORTACION"/>
    <s v="50"/>
    <n v="60"/>
    <n v="900"/>
    <n v="10"/>
    <m/>
    <m/>
    <m/>
    <s v="13570"/>
    <m/>
    <s v="VALPARAISO"/>
    <s v="MARITIMO"/>
    <s v="TORONTO"/>
    <m/>
    <m/>
    <m/>
    <m/>
    <m/>
    <m/>
    <s v="MSC EDNA"/>
    <s v="TTNU8356260"/>
    <m/>
    <s v="CANADA  "/>
    <d v="2026-05-24T00:00:00"/>
    <s v="15.0"/>
    <n v="446"/>
    <m/>
    <m/>
    <m/>
    <s v="119278"/>
    <n v="19"/>
    <s v="91406"/>
    <m/>
    <s v="OPB SERVICIOS INTEGRALES SPA"/>
    <s v="FX41524908"/>
    <s v="119278"/>
    <m/>
    <m/>
    <m/>
    <s v="5.5"/>
    <n v="476"/>
    <s v="NORTEAMERICA"/>
    <s v="OPEN TOP"/>
    <s v="CHAMONATE SPA"/>
    <s v="MSC"/>
    <s v="070ISA1237483"/>
    <s v="MEDUW9418411"/>
    <n v="46164"/>
    <m/>
    <s v="OPB SERVICIOS INTEGRALES SPA"/>
    <n v="46160"/>
    <d v="2026-05-24T00:00:00"/>
    <d v="2026-06-15T00:00:00"/>
    <x v="1"/>
  </r>
  <r>
    <s v="2025-2026"/>
    <n v="20405"/>
    <x v="1"/>
    <x v="1"/>
    <n v="21"/>
    <n v="5"/>
    <d v="2026-06-15T00:00:00"/>
    <s v="SAG"/>
    <s v="ALMAHUE EXPORT SPA"/>
    <s v="NAP"/>
    <n v="11"/>
    <s v="NORTH AMERICAN PRODUCE BUYERS LTD"/>
    <n v="346"/>
    <s v="17.092.086-4"/>
    <s v="PATRICIO ARAVENA"/>
    <s v="KPXJ71"/>
    <m/>
    <s v="FX41524908"/>
    <m/>
    <s v="Z120030934"/>
    <s v="Z120030934"/>
    <s v="119278"/>
    <s v="NARANJAS"/>
    <s v="OC15OT10"/>
    <s v="CANADA"/>
    <n v="15"/>
    <s v="CAT-1"/>
    <s v="CAT-1"/>
    <s v="EXPORTACION"/>
    <s v="50"/>
    <n v="60"/>
    <n v="900"/>
    <n v="10"/>
    <m/>
    <m/>
    <m/>
    <s v="13570"/>
    <m/>
    <s v="VALPARAISO"/>
    <s v="MARITIMO"/>
    <s v="TORONTO"/>
    <m/>
    <m/>
    <m/>
    <m/>
    <m/>
    <m/>
    <s v="MSC EDNA"/>
    <s v="TTNU8356260"/>
    <m/>
    <s v="CANADA  "/>
    <d v="2026-05-24T00:00:00"/>
    <s v="15.0"/>
    <n v="446"/>
    <m/>
    <m/>
    <m/>
    <s v="119278"/>
    <n v="19"/>
    <s v="91406"/>
    <m/>
    <s v="OPB SERVICIOS INTEGRALES SPA"/>
    <s v="FX41524908"/>
    <s v="119278"/>
    <m/>
    <m/>
    <m/>
    <s v="5.5"/>
    <n v="476"/>
    <s v="NORTEAMERICA"/>
    <s v="OPEN TOP"/>
    <s v="CHAMONATE SPA"/>
    <s v="MSC"/>
    <s v="070ISA1237483"/>
    <s v="MEDUW9418411"/>
    <n v="46164"/>
    <m/>
    <s v="OPB SERVICIOS INTEGRALES SPA"/>
    <n v="46160"/>
    <d v="2026-05-24T00:00:00"/>
    <d v="2026-06-15T00:00:00"/>
    <x v="1"/>
  </r>
  <r>
    <s v="2025-2026"/>
    <n v="20406"/>
    <x v="1"/>
    <x v="1"/>
    <n v="21"/>
    <n v="5"/>
    <d v="2026-06-15T00:00:00"/>
    <s v="SAG"/>
    <s v="ALMAHUE EXPORT SPA"/>
    <s v="NAP"/>
    <n v="11"/>
    <s v="NORTH AMERICAN PRODUCE BUYERS LTD"/>
    <n v="346"/>
    <s v="17.092.086-4"/>
    <s v="PATRICIO ARAVENA"/>
    <s v="KPXJ71"/>
    <m/>
    <s v="FX41524908"/>
    <m/>
    <s v="Z120030937"/>
    <s v="Z120030937"/>
    <s v="119278"/>
    <s v="NARANJAS"/>
    <s v="OC15OT10"/>
    <s v="CANADA"/>
    <n v="15"/>
    <s v="CAT-1"/>
    <s v="CAT-1"/>
    <s v="EXPORTACION"/>
    <s v="40"/>
    <n v="60"/>
    <n v="900"/>
    <n v="10"/>
    <m/>
    <m/>
    <m/>
    <s v="13570"/>
    <m/>
    <s v="VALPARAISO"/>
    <s v="MARITIMO"/>
    <s v="TORONTO"/>
    <m/>
    <m/>
    <m/>
    <m/>
    <m/>
    <m/>
    <s v="MSC EDNA"/>
    <s v="TTNU8356260"/>
    <m/>
    <s v="CANADA  "/>
    <d v="2026-05-24T00:00:00"/>
    <s v="15.0"/>
    <n v="446"/>
    <m/>
    <m/>
    <m/>
    <s v="119278"/>
    <n v="19"/>
    <s v="91406"/>
    <m/>
    <s v="OPB SERVICIOS INTEGRALES SPA"/>
    <s v="FX41524908"/>
    <s v="119278"/>
    <m/>
    <m/>
    <m/>
    <s v="5.5"/>
    <n v="476"/>
    <s v="NORTEAMERICA"/>
    <s v="OPEN TOP"/>
    <s v="CHAMONATE SPA"/>
    <s v="MSC"/>
    <s v="070ISA1237483"/>
    <s v="MEDUW9418411"/>
    <n v="46164"/>
    <m/>
    <s v="OPB SERVICIOS INTEGRALES SPA"/>
    <n v="46160"/>
    <d v="2026-05-24T00:00:00"/>
    <d v="2026-06-15T00:00:00"/>
    <x v="1"/>
  </r>
  <r>
    <s v="2025-2026"/>
    <n v="20407"/>
    <x v="1"/>
    <x v="1"/>
    <n v="21"/>
    <n v="5"/>
    <d v="2026-06-15T00:00:00"/>
    <s v="SAG"/>
    <s v="ALMAHUE EXPORT SPA"/>
    <s v="NAP"/>
    <n v="11"/>
    <s v="NORTH AMERICAN PRODUCE BUYERS LTD"/>
    <n v="346"/>
    <s v="17.092.086-4"/>
    <s v="PATRICIO ARAVENA"/>
    <s v="KPXJ71"/>
    <m/>
    <s v="FX41524908"/>
    <m/>
    <s v="Z120030938"/>
    <s v="Z120030938"/>
    <s v="119278"/>
    <s v="NARANJAS"/>
    <s v="OC15OT10"/>
    <s v="CANADA"/>
    <n v="15"/>
    <s v="CAT-1"/>
    <s v="CAT-1"/>
    <s v="EXPORTACION"/>
    <s v="50"/>
    <n v="60"/>
    <n v="900"/>
    <n v="10"/>
    <m/>
    <m/>
    <m/>
    <s v="13570"/>
    <m/>
    <s v="VALPARAISO"/>
    <s v="MARITIMO"/>
    <s v="TORONTO"/>
    <m/>
    <m/>
    <m/>
    <m/>
    <m/>
    <m/>
    <s v="MSC EDNA"/>
    <s v="TTNU8356260"/>
    <m/>
    <s v="CANADA  "/>
    <d v="2026-05-24T00:00:00"/>
    <s v="15.0"/>
    <n v="446"/>
    <m/>
    <m/>
    <m/>
    <s v="119278"/>
    <n v="19"/>
    <s v="91406"/>
    <m/>
    <s v="OPB SERVICIOS INTEGRALES SPA"/>
    <s v="FX41524908"/>
    <s v="119278"/>
    <m/>
    <m/>
    <m/>
    <s v="5.5"/>
    <n v="476"/>
    <s v="NORTEAMERICA"/>
    <s v="OPEN TOP"/>
    <s v="CHAMONATE SPA"/>
    <s v="MSC"/>
    <s v="070ISA1237483"/>
    <s v="MEDUW9418411"/>
    <n v="46164"/>
    <m/>
    <s v="OPB SERVICIOS INTEGRALES SPA"/>
    <n v="46160"/>
    <d v="2026-05-24T00:00:00"/>
    <d v="2026-06-15T00:00:00"/>
    <x v="1"/>
  </r>
  <r>
    <s v="2025-2026"/>
    <n v="20408"/>
    <x v="1"/>
    <x v="1"/>
    <n v="21"/>
    <n v="5"/>
    <d v="2026-06-15T00:00:00"/>
    <s v="SAG"/>
    <s v="ALMAHUE EXPORT SPA"/>
    <s v="NAP"/>
    <n v="11"/>
    <s v="NORTH AMERICAN PRODUCE BUYERS LTD"/>
    <n v="346"/>
    <s v="17.092.086-4"/>
    <s v="PATRICIO ARAVENA"/>
    <s v="KPXJ71"/>
    <m/>
    <s v="FX41524908"/>
    <m/>
    <s v="Z120030939"/>
    <s v="Z120030939"/>
    <s v="119278"/>
    <s v="NARANJAS"/>
    <s v="OC15OT10"/>
    <s v="CANADA"/>
    <n v="15"/>
    <s v="CAT-1"/>
    <s v="CAT-1"/>
    <s v="EXPORTACION"/>
    <s v="40"/>
    <n v="60"/>
    <n v="900"/>
    <n v="10"/>
    <m/>
    <m/>
    <m/>
    <s v="13570"/>
    <m/>
    <s v="VALPARAISO"/>
    <s v="MARITIMO"/>
    <s v="TORONTO"/>
    <m/>
    <m/>
    <m/>
    <m/>
    <m/>
    <m/>
    <s v="MSC EDNA"/>
    <s v="TTNU8356260"/>
    <m/>
    <s v="CANADA  "/>
    <d v="2026-05-24T00:00:00"/>
    <s v="15.0"/>
    <n v="446"/>
    <m/>
    <m/>
    <m/>
    <s v="119278"/>
    <n v="19"/>
    <s v="91406"/>
    <m/>
    <s v="OPB SERVICIOS INTEGRALES SPA"/>
    <s v="FX41524908"/>
    <s v="119278"/>
    <m/>
    <m/>
    <m/>
    <s v="5.5"/>
    <n v="476"/>
    <s v="NORTEAMERICA"/>
    <s v="OPEN TOP"/>
    <s v="CHAMONATE SPA"/>
    <s v="MSC"/>
    <s v="070ISA1237483"/>
    <s v="MEDUW9418411"/>
    <n v="46164"/>
    <m/>
    <s v="OPB SERVICIOS INTEGRALES SPA"/>
    <n v="46160"/>
    <d v="2026-05-24T00:00:00"/>
    <d v="2026-06-15T00:00:00"/>
    <x v="1"/>
  </r>
  <r>
    <s v="2025-2026"/>
    <n v="20409"/>
    <x v="1"/>
    <x v="1"/>
    <n v="21"/>
    <n v="5"/>
    <d v="2026-06-15T00:00:00"/>
    <s v="SAG"/>
    <s v="ALMAHUE EXPORT SPA"/>
    <s v="NAP"/>
    <n v="11"/>
    <s v="NORTH AMERICAN PRODUCE BUYERS LTD"/>
    <n v="346"/>
    <s v="17.092.086-4"/>
    <s v="PATRICIO ARAVENA"/>
    <s v="KPXJ71"/>
    <m/>
    <s v="FX41524908"/>
    <m/>
    <s v="Z120030941"/>
    <s v="Z120030941"/>
    <s v="119278"/>
    <s v="NARANJAS"/>
    <s v="OC15OT10"/>
    <s v="CANADA"/>
    <n v="15"/>
    <s v="CAT-1"/>
    <s v="CAT-1"/>
    <s v="EXPORTACION"/>
    <s v="50"/>
    <n v="60"/>
    <n v="900"/>
    <n v="10"/>
    <m/>
    <m/>
    <m/>
    <s v="13570"/>
    <m/>
    <s v="VALPARAISO"/>
    <s v="MARITIMO"/>
    <s v="TORONTO"/>
    <m/>
    <m/>
    <m/>
    <m/>
    <m/>
    <m/>
    <s v="MSC EDNA"/>
    <s v="TTNU8356260"/>
    <m/>
    <s v="CANADA  "/>
    <d v="2026-05-24T00:00:00"/>
    <s v="15.0"/>
    <n v="446"/>
    <m/>
    <m/>
    <m/>
    <s v="119278"/>
    <n v="19"/>
    <s v="91406"/>
    <m/>
    <s v="OPB SERVICIOS INTEGRALES SPA"/>
    <s v="FX41524908"/>
    <s v="119278"/>
    <m/>
    <m/>
    <m/>
    <s v="5.5"/>
    <n v="476"/>
    <s v="NORTEAMERICA"/>
    <s v="OPEN TOP"/>
    <s v="CHAMONATE SPA"/>
    <s v="MSC"/>
    <s v="070ISA1237483"/>
    <s v="MEDUW9418411"/>
    <n v="46164"/>
    <m/>
    <s v="OPB SERVICIOS INTEGRALES SPA"/>
    <n v="46160"/>
    <d v="2026-05-24T00:00:00"/>
    <d v="2026-06-15T00:00:00"/>
    <x v="1"/>
  </r>
  <r>
    <s v="2025-2026"/>
    <n v="20410"/>
    <x v="1"/>
    <x v="1"/>
    <n v="21"/>
    <n v="5"/>
    <d v="2026-06-15T00:00:00"/>
    <s v="SAG"/>
    <s v="ALMAHUE EXPORT SPA"/>
    <s v="NAP"/>
    <n v="11"/>
    <s v="NORTH AMERICAN PRODUCE BUYERS LTD"/>
    <n v="346"/>
    <s v="17.092.086-4"/>
    <s v="PATRICIO ARAVENA"/>
    <s v="KPXJ71"/>
    <m/>
    <s v="FX41524908"/>
    <m/>
    <s v="Z120030946"/>
    <s v="Z120030946"/>
    <s v="119278"/>
    <s v="NARANJAS"/>
    <s v="OC15OT10"/>
    <s v="CANADA"/>
    <n v="15"/>
    <s v="CAT-1"/>
    <s v="CAT-1"/>
    <s v="EXPORTACION"/>
    <s v="40"/>
    <n v="45"/>
    <n v="675"/>
    <n v="10"/>
    <m/>
    <m/>
    <m/>
    <s v="13570"/>
    <m/>
    <s v="VALPARAISO"/>
    <s v="MARITIMO"/>
    <s v="TORONTO"/>
    <m/>
    <m/>
    <m/>
    <m/>
    <m/>
    <m/>
    <s v="MSC EDNA"/>
    <s v="TTNU8356260"/>
    <m/>
    <s v="CANADA  "/>
    <d v="2026-05-24T00:00:00"/>
    <s v="15.0"/>
    <n v="446"/>
    <m/>
    <m/>
    <m/>
    <s v="119278"/>
    <n v="19"/>
    <s v="91406"/>
    <m/>
    <s v="OPB SERVICIOS INTEGRALES SPA"/>
    <s v="FX41524908"/>
    <s v="119278"/>
    <m/>
    <m/>
    <m/>
    <s v="5.5"/>
    <n v="476"/>
    <s v="NORTEAMERICA"/>
    <s v="OPEN TOP"/>
    <s v="CHAMONATE SPA"/>
    <s v="MSC"/>
    <s v="070ISA1237483"/>
    <s v="MEDUW9418411"/>
    <n v="46164"/>
    <m/>
    <s v="OPB SERVICIOS INTEGRALES SPA"/>
    <n v="46160"/>
    <d v="2026-05-24T00:00:00"/>
    <d v="2026-06-15T00:00:00"/>
    <x v="1"/>
  </r>
  <r>
    <s v="2025-2026"/>
    <n v="20411"/>
    <x v="1"/>
    <x v="1"/>
    <n v="21"/>
    <n v="5"/>
    <d v="2026-06-15T00:00:00"/>
    <s v="SAG"/>
    <s v="ALMAHUE EXPORT SPA"/>
    <s v="NAP"/>
    <n v="11"/>
    <s v="NORTH AMERICAN PRODUCE BUYERS LTD"/>
    <n v="346"/>
    <s v="17.092.086-4"/>
    <s v="PATRICIO ARAVENA"/>
    <s v="KPXJ71"/>
    <m/>
    <s v="FX41524908"/>
    <m/>
    <s v="Z120030946"/>
    <s v="Z120030946"/>
    <s v="119278"/>
    <s v="NARANJAS"/>
    <s v="OC15OT10"/>
    <s v="CANADA"/>
    <n v="15"/>
    <s v="CAT-1"/>
    <s v="CAT-1"/>
    <s v="EXPORTACION"/>
    <s v="40"/>
    <n v="15"/>
    <n v="225"/>
    <n v="10"/>
    <m/>
    <m/>
    <m/>
    <s v="13570"/>
    <m/>
    <s v="VALPARAISO"/>
    <s v="MARITIMO"/>
    <s v="TORONTO"/>
    <m/>
    <m/>
    <m/>
    <m/>
    <m/>
    <m/>
    <s v="MSC EDNA"/>
    <s v="TTNU8356260"/>
    <m/>
    <s v="CANADA  "/>
    <d v="2026-05-24T00:00:00"/>
    <s v="15.0"/>
    <n v="446"/>
    <m/>
    <m/>
    <m/>
    <s v="119278"/>
    <n v="19"/>
    <s v="91406"/>
    <m/>
    <s v="OPB SERVICIOS INTEGRALES SPA"/>
    <s v="FX41524908"/>
    <s v="119278"/>
    <m/>
    <m/>
    <m/>
    <s v="5.5"/>
    <n v="476"/>
    <s v="NORTEAMERICA"/>
    <s v="OPEN TOP"/>
    <s v="CHAMONATE SPA"/>
    <s v="MSC"/>
    <s v="070ISA1237483"/>
    <s v="MEDUW9418411"/>
    <n v="46164"/>
    <m/>
    <s v="OPB SERVICIOS INTEGRALES SPA"/>
    <n v="46160"/>
    <d v="2026-05-24T00:00:00"/>
    <d v="2026-06-15T00:00:00"/>
    <x v="1"/>
  </r>
  <r>
    <s v="2025-2026"/>
    <n v="20412"/>
    <x v="1"/>
    <x v="1"/>
    <n v="21"/>
    <n v="5"/>
    <d v="2026-06-15T00:00:00"/>
    <s v="SAG"/>
    <s v="ALMAHUE EXPORT SPA"/>
    <s v="NAP"/>
    <n v="11"/>
    <s v="NORTH AMERICAN PRODUCE BUYERS LTD"/>
    <n v="346"/>
    <s v="17.092.086-4"/>
    <s v="PATRICIO ARAVENA"/>
    <s v="KPXJ71"/>
    <m/>
    <s v="FX41524908"/>
    <m/>
    <s v="Z120030953"/>
    <s v="Z120030953"/>
    <s v="119278"/>
    <s v="NARANJAS"/>
    <s v="OC15OT10"/>
    <s v="CANADA"/>
    <n v="15"/>
    <s v="CAT-1"/>
    <s v="CAT-1"/>
    <s v="EXPORTACION"/>
    <s v="50"/>
    <n v="60"/>
    <n v="900"/>
    <n v="10"/>
    <m/>
    <m/>
    <m/>
    <s v="13570"/>
    <m/>
    <s v="VALPARAISO"/>
    <s v="MARITIMO"/>
    <s v="TORONTO"/>
    <m/>
    <m/>
    <m/>
    <m/>
    <m/>
    <m/>
    <s v="MSC EDNA"/>
    <s v="TTNU8356260"/>
    <m/>
    <s v="CANADA  "/>
    <d v="2026-05-24T00:00:00"/>
    <s v="15.0"/>
    <n v="446"/>
    <m/>
    <m/>
    <m/>
    <s v="119278"/>
    <n v="19"/>
    <s v="91406"/>
    <m/>
    <s v="OPB SERVICIOS INTEGRALES SPA"/>
    <s v="FX41524908"/>
    <s v="119278"/>
    <m/>
    <m/>
    <m/>
    <s v="5.5"/>
    <n v="476"/>
    <s v="NORTEAMERICA"/>
    <s v="OPEN TOP"/>
    <s v="CHAMONATE SPA"/>
    <s v="MSC"/>
    <s v="070ISA1237483"/>
    <s v="MEDUW9418411"/>
    <n v="46164"/>
    <m/>
    <s v="OPB SERVICIOS INTEGRALES SPA"/>
    <n v="46160"/>
    <d v="2026-05-24T00:00:00"/>
    <d v="2026-06-15T00:00:00"/>
    <x v="1"/>
  </r>
  <r>
    <s v="2025-2026"/>
    <n v="20413"/>
    <x v="1"/>
    <x v="1"/>
    <n v="21"/>
    <n v="5"/>
    <d v="2026-06-15T00:00:00"/>
    <s v="SAG"/>
    <s v="ALMAHUE EXPORT SPA"/>
    <s v="NAP"/>
    <n v="11"/>
    <s v="NORTH AMERICAN PRODUCE BUYERS LTD"/>
    <n v="346"/>
    <s v="17.092.086-4"/>
    <s v="PATRICIO ARAVENA"/>
    <s v="KPXJ71"/>
    <m/>
    <s v="FX41524908"/>
    <m/>
    <s v="Z120030954"/>
    <s v="Z120030954"/>
    <s v="119278"/>
    <s v="NARANJAS"/>
    <s v="OC15OT10"/>
    <s v="CANADA"/>
    <n v="15"/>
    <s v="CAT-1"/>
    <s v="CAT-1"/>
    <s v="EXPORTACION"/>
    <s v="40"/>
    <n v="60"/>
    <n v="900"/>
    <n v="10"/>
    <m/>
    <m/>
    <m/>
    <s v="13570"/>
    <m/>
    <s v="VALPARAISO"/>
    <s v="MARITIMO"/>
    <s v="TORONTO"/>
    <m/>
    <m/>
    <m/>
    <m/>
    <m/>
    <m/>
    <s v="MSC EDNA"/>
    <s v="TTNU8356260"/>
    <m/>
    <s v="CANADA  "/>
    <d v="2026-05-24T00:00:00"/>
    <s v="15.0"/>
    <n v="446"/>
    <m/>
    <m/>
    <m/>
    <s v="119278"/>
    <n v="19"/>
    <s v="91406"/>
    <m/>
    <s v="OPB SERVICIOS INTEGRALES SPA"/>
    <s v="FX41524908"/>
    <s v="119278"/>
    <m/>
    <m/>
    <m/>
    <s v="5.5"/>
    <n v="476"/>
    <s v="NORTEAMERICA"/>
    <s v="OPEN TOP"/>
    <s v="CHAMONATE SPA"/>
    <s v="MSC"/>
    <s v="070ISA1237483"/>
    <s v="MEDUW9418411"/>
    <n v="46164"/>
    <m/>
    <s v="OPB SERVICIOS INTEGRALES SPA"/>
    <n v="46160"/>
    <d v="2026-05-24T00:00:00"/>
    <d v="2026-06-15T00:00:00"/>
    <x v="1"/>
  </r>
  <r>
    <s v="2025-2026"/>
    <n v="20414"/>
    <x v="1"/>
    <x v="1"/>
    <n v="21"/>
    <n v="5"/>
    <d v="2026-06-15T00:00:00"/>
    <s v="SAG"/>
    <s v="ALMAHUE EXPORT SPA"/>
    <s v="NAP"/>
    <n v="11"/>
    <s v="NORTH AMERICAN PRODUCE BUYERS LTD"/>
    <n v="346"/>
    <s v="17.092.086-4"/>
    <s v="PATRICIO ARAVENA"/>
    <s v="KPXJ71"/>
    <m/>
    <s v="FX41524908"/>
    <m/>
    <s v="Z120030956"/>
    <s v="Z120030956"/>
    <s v="119278"/>
    <s v="NARANJAS"/>
    <s v="OC15OT10"/>
    <s v="CANADA"/>
    <n v="15"/>
    <s v="CAT-1"/>
    <s v="CAT-1"/>
    <s v="EXPORTACION"/>
    <s v="50"/>
    <n v="60"/>
    <n v="900"/>
    <n v="10"/>
    <m/>
    <m/>
    <m/>
    <s v="13570"/>
    <m/>
    <s v="VALPARAISO"/>
    <s v="MARITIMO"/>
    <s v="TORONTO"/>
    <m/>
    <m/>
    <m/>
    <m/>
    <m/>
    <m/>
    <s v="MSC EDNA"/>
    <s v="TTNU8356260"/>
    <m/>
    <s v="CANADA  "/>
    <d v="2026-05-24T00:00:00"/>
    <s v="15.0"/>
    <n v="446"/>
    <m/>
    <m/>
    <m/>
    <s v="119278"/>
    <n v="19"/>
    <s v="91406"/>
    <m/>
    <s v="OPB SERVICIOS INTEGRALES SPA"/>
    <s v="FX41524908"/>
    <s v="119278"/>
    <m/>
    <m/>
    <m/>
    <s v="5.5"/>
    <n v="476"/>
    <s v="NORTEAMERICA"/>
    <s v="OPEN TOP"/>
    <s v="CHAMONATE SPA"/>
    <s v="MSC"/>
    <s v="070ISA1237483"/>
    <s v="MEDUW9418411"/>
    <n v="46164"/>
    <m/>
    <s v="OPB SERVICIOS INTEGRALES SPA"/>
    <n v="46160"/>
    <d v="2026-05-24T00:00:00"/>
    <d v="2026-06-15T00:00:00"/>
    <x v="1"/>
  </r>
  <r>
    <s v="2025-2026"/>
    <n v="20415"/>
    <x v="1"/>
    <x v="1"/>
    <n v="21"/>
    <n v="5"/>
    <d v="2026-06-15T00:00:00"/>
    <s v="SAG"/>
    <s v="ALMAHUE EXPORT SPA"/>
    <s v="NAP"/>
    <n v="11"/>
    <s v="NORTH AMERICAN PRODUCE BUYERS LTD"/>
    <n v="346"/>
    <s v="17.092.086-4"/>
    <s v="PATRICIO ARAVENA"/>
    <s v="KPXJ71"/>
    <m/>
    <s v="FX41524908"/>
    <m/>
    <s v="Z120030957"/>
    <s v="Z120030957"/>
    <s v="119278"/>
    <s v="NARANJAS"/>
    <s v="OC15OT10"/>
    <s v="CANADA"/>
    <n v="15"/>
    <s v="CAT-1"/>
    <s v="CAT-1"/>
    <s v="EXPORTACION"/>
    <s v="50"/>
    <n v="60"/>
    <n v="900"/>
    <n v="10"/>
    <m/>
    <m/>
    <m/>
    <s v="13570"/>
    <m/>
    <s v="VALPARAISO"/>
    <s v="MARITIMO"/>
    <s v="TORONTO"/>
    <m/>
    <m/>
    <m/>
    <m/>
    <m/>
    <m/>
    <s v="MSC EDNA"/>
    <s v="TTNU8356260"/>
    <m/>
    <s v="CANADA  "/>
    <d v="2026-05-24T00:00:00"/>
    <s v="15.0"/>
    <n v="446"/>
    <m/>
    <m/>
    <m/>
    <s v="119278"/>
    <n v="19"/>
    <s v="91406"/>
    <m/>
    <s v="OPB SERVICIOS INTEGRALES SPA"/>
    <s v="FX41524908"/>
    <s v="119278"/>
    <m/>
    <m/>
    <m/>
    <s v="5.5"/>
    <n v="476"/>
    <s v="NORTEAMERICA"/>
    <s v="OPEN TOP"/>
    <s v="CHAMONATE SPA"/>
    <s v="MSC"/>
    <s v="070ISA1237483"/>
    <s v="MEDUW9418411"/>
    <n v="46164"/>
    <m/>
    <s v="OPB SERVICIOS INTEGRALES SPA"/>
    <n v="46160"/>
    <d v="2026-05-24T00:00:00"/>
    <d v="2026-06-15T00:00:00"/>
    <x v="1"/>
  </r>
  <r>
    <s v="2025-2026"/>
    <n v="20416"/>
    <x v="1"/>
    <x v="1"/>
    <n v="21"/>
    <n v="5"/>
    <d v="2026-06-15T00:00:00"/>
    <s v="SAG"/>
    <s v="ALMAHUE EXPORT SPA"/>
    <s v="NAP"/>
    <n v="11"/>
    <s v="NORTH AMERICAN PRODUCE BUYERS LTD"/>
    <n v="346"/>
    <s v="17.092.086-4"/>
    <s v="PATRICIO ARAVENA"/>
    <s v="KPXJ71"/>
    <m/>
    <s v="FX41524908"/>
    <m/>
    <s v="Z120030961"/>
    <s v="Z120030961"/>
    <s v="119278"/>
    <s v="NARANJAS"/>
    <s v="OC15OT10"/>
    <s v="CANADA"/>
    <n v="15"/>
    <s v="CAT-1"/>
    <s v="CAT-1"/>
    <s v="EXPORTACION"/>
    <s v="50"/>
    <n v="60"/>
    <n v="900"/>
    <n v="10"/>
    <m/>
    <m/>
    <m/>
    <s v="13570"/>
    <m/>
    <s v="VALPARAISO"/>
    <s v="MARITIMO"/>
    <s v="TORONTO"/>
    <m/>
    <m/>
    <m/>
    <m/>
    <m/>
    <m/>
    <s v="MSC EDNA"/>
    <s v="TTNU8356260"/>
    <m/>
    <s v="CANADA  "/>
    <d v="2026-05-24T00:00:00"/>
    <s v="15.0"/>
    <n v="446"/>
    <m/>
    <m/>
    <m/>
    <s v="119278"/>
    <n v="19"/>
    <s v="91406"/>
    <m/>
    <s v="OPB SERVICIOS INTEGRALES SPA"/>
    <s v="FX41524908"/>
    <s v="119278"/>
    <m/>
    <m/>
    <m/>
    <s v="5.5"/>
    <n v="476"/>
    <s v="NORTEAMERICA"/>
    <s v="OPEN TOP"/>
    <s v="CHAMONATE SPA"/>
    <s v="MSC"/>
    <s v="070ISA1237483"/>
    <s v="MEDUW9418411"/>
    <n v="46164"/>
    <m/>
    <s v="OPB SERVICIOS INTEGRALES SPA"/>
    <n v="46160"/>
    <d v="2026-05-24T00:00:00"/>
    <d v="2026-06-15T00:00:00"/>
    <x v="1"/>
  </r>
  <r>
    <s v="2025-2026"/>
    <n v="20417"/>
    <x v="1"/>
    <x v="1"/>
    <n v="21"/>
    <n v="5"/>
    <d v="2026-06-15T00:00:00"/>
    <s v="SAG"/>
    <s v="ALMAHUE EXPORT SPA"/>
    <s v="NAP"/>
    <n v="11"/>
    <s v="NORTH AMERICAN PRODUCE BUYERS LTD"/>
    <n v="346"/>
    <s v="17.092.086-4"/>
    <s v="PATRICIO ARAVENA"/>
    <s v="KPXJ71"/>
    <m/>
    <s v="FX41524908"/>
    <m/>
    <s v="Z120030964"/>
    <s v="Z120030964"/>
    <s v="119278"/>
    <s v="NARANJAS"/>
    <s v="OC15OT10"/>
    <s v="CANADA"/>
    <n v="15"/>
    <s v="CAT-1"/>
    <s v="CAT-1"/>
    <s v="EXPORTACION"/>
    <s v="40"/>
    <n v="60"/>
    <n v="900"/>
    <n v="10"/>
    <m/>
    <m/>
    <m/>
    <s v="13570"/>
    <m/>
    <s v="VALPARAISO"/>
    <s v="MARITIMO"/>
    <s v="TORONTO"/>
    <m/>
    <m/>
    <m/>
    <m/>
    <m/>
    <m/>
    <s v="MSC EDNA"/>
    <s v="TTNU8356260"/>
    <m/>
    <s v="CANADA  "/>
    <d v="2026-05-24T00:00:00"/>
    <s v="15.0"/>
    <n v="446"/>
    <m/>
    <m/>
    <m/>
    <s v="119278"/>
    <n v="19"/>
    <s v="91406"/>
    <m/>
    <s v="OPB SERVICIOS INTEGRALES SPA"/>
    <s v="FX41524908"/>
    <s v="119278"/>
    <m/>
    <m/>
    <m/>
    <s v="5.5"/>
    <n v="476"/>
    <s v="NORTEAMERICA"/>
    <s v="OPEN TOP"/>
    <s v="CHAMONATE SPA"/>
    <s v="MSC"/>
    <s v="070ISA1237483"/>
    <s v="MEDUW9418411"/>
    <n v="46164"/>
    <m/>
    <s v="OPB SERVICIOS INTEGRALES SPA"/>
    <n v="46160"/>
    <d v="2026-05-24T00:00:00"/>
    <d v="2026-06-15T00:00:00"/>
    <x v="1"/>
  </r>
  <r>
    <s v="2025-2026"/>
    <n v="20418"/>
    <x v="2"/>
    <x v="2"/>
    <n v="22"/>
    <n v="5"/>
    <d v="2026-06-04T00:00:00"/>
    <s v="SAG"/>
    <s v="ALMAHUE EXPORT SPA"/>
    <s v="SEEDPLC"/>
    <n v="55"/>
    <s v="SEEDPLC CIA. LTDA."/>
    <n v="342"/>
    <s v="18.568.294-3"/>
    <s v="PABLO OTAIZA"/>
    <s v="SSBS90"/>
    <m/>
    <s v="L9363710"/>
    <m/>
    <s v="120030930"/>
    <s v="120030930"/>
    <s v="119278"/>
    <s v="NARANJAS"/>
    <s v="OC15G02"/>
    <s v="GRANEL"/>
    <n v="15"/>
    <s v="CAT-1"/>
    <s v="CAT-1"/>
    <s v="EXPORTACION"/>
    <s v="70"/>
    <n v="80"/>
    <n v="1200"/>
    <n v="10"/>
    <m/>
    <m/>
    <m/>
    <s v="75"/>
    <m/>
    <s v="SAN ANTONIO"/>
    <s v="MARITIMO"/>
    <s v="POSORJA"/>
    <m/>
    <m/>
    <m/>
    <m/>
    <m/>
    <m/>
    <s v="ISTANBUL EXPRESS"/>
    <s v="CGMU5098150"/>
    <m/>
    <s v="ECUADOR          "/>
    <d v="2026-05-29T00:00:00"/>
    <s v="15.0"/>
    <n v="445"/>
    <m/>
    <m/>
    <m/>
    <s v="119278"/>
    <n v="119"/>
    <s v="999999"/>
    <m/>
    <s v="OPB SERVICIOS INTEGRALES SPA"/>
    <s v="L9363710"/>
    <s v="119278"/>
    <m/>
    <m/>
    <m/>
    <s v="5.5"/>
    <n v="475"/>
    <s v="CENTROAMERICA"/>
    <s v="ALMAHUE TRADICIONAL"/>
    <s v="AGRICOLA Y PACKING CACHAPOAL S.A"/>
    <s v="CMA CGM"/>
    <s v="SNG0504153"/>
    <s v="SNG0504153"/>
    <n v="46167"/>
    <m/>
    <s v="OPB SERVICIOS INTEGRALES SPA"/>
    <n v="46164"/>
    <d v="2026-05-29T00:00:00"/>
    <d v="2026-06-04T00:00:00"/>
    <x v="2"/>
  </r>
  <r>
    <s v="2025-2026"/>
    <n v="20419"/>
    <x v="2"/>
    <x v="2"/>
    <n v="22"/>
    <n v="5"/>
    <d v="2026-06-04T00:00:00"/>
    <s v="SAG"/>
    <s v="ALMAHUE EXPORT SPA"/>
    <s v="SEEDPLC"/>
    <n v="55"/>
    <s v="SEEDPLC CIA. LTDA."/>
    <n v="342"/>
    <s v="18.568.294-3"/>
    <s v="PABLO OTAIZA"/>
    <s v="SSBS90"/>
    <m/>
    <s v="L9363710"/>
    <m/>
    <s v="120030931"/>
    <s v="120030931"/>
    <s v="119278"/>
    <s v="NARANJAS"/>
    <s v="OC15G02"/>
    <s v="GRANEL"/>
    <n v="15"/>
    <s v="CAT-1"/>
    <s v="CAT-1"/>
    <s v="EXPORTACION"/>
    <s v="80"/>
    <n v="80"/>
    <n v="1200"/>
    <n v="10"/>
    <m/>
    <m/>
    <m/>
    <s v="75"/>
    <m/>
    <s v="SAN ANTONIO"/>
    <s v="MARITIMO"/>
    <s v="POSORJA"/>
    <m/>
    <m/>
    <m/>
    <m/>
    <m/>
    <m/>
    <s v="ISTANBUL EXPRESS"/>
    <s v="CGMU5098150"/>
    <m/>
    <s v="ECUADOR          "/>
    <d v="2026-05-29T00:00:00"/>
    <s v="15.0"/>
    <n v="445"/>
    <m/>
    <m/>
    <m/>
    <s v="119278"/>
    <n v="119"/>
    <s v="999999"/>
    <m/>
    <s v="OPB SERVICIOS INTEGRALES SPA"/>
    <s v="L9363710"/>
    <s v="119278"/>
    <m/>
    <m/>
    <m/>
    <s v="5.5"/>
    <n v="475"/>
    <s v="CENTROAMERICA"/>
    <s v="ALMAHUE TRADICIONAL"/>
    <s v="AGRICOLA Y PACKING CACHAPOAL S.A"/>
    <s v="CMA CGM"/>
    <s v="SNG0504153"/>
    <s v="SNG0504153"/>
    <n v="46167"/>
    <m/>
    <s v="OPB SERVICIOS INTEGRALES SPA"/>
    <n v="46164"/>
    <d v="2026-05-29T00:00:00"/>
    <d v="2026-06-04T00:00:00"/>
    <x v="2"/>
  </r>
  <r>
    <s v="2025-2026"/>
    <n v="20420"/>
    <x v="2"/>
    <x v="2"/>
    <n v="22"/>
    <n v="5"/>
    <d v="2026-06-04T00:00:00"/>
    <s v="SAG"/>
    <s v="ALMAHUE EXPORT SPA"/>
    <s v="SEEDPLC"/>
    <n v="55"/>
    <s v="SEEDPLC CIA. LTDA."/>
    <n v="342"/>
    <s v="18.568.294-3"/>
    <s v="PABLO OTAIZA"/>
    <s v="SSBS90"/>
    <m/>
    <s v="L9363710"/>
    <m/>
    <s v="120030935"/>
    <s v="120030935"/>
    <s v="119278"/>
    <s v="NARANJAS"/>
    <s v="OC15G02"/>
    <s v="GRANEL"/>
    <n v="15"/>
    <s v="CAT-1"/>
    <s v="CAT-1"/>
    <s v="EXPORTACION"/>
    <s v="70"/>
    <n v="80"/>
    <n v="1200"/>
    <n v="10"/>
    <m/>
    <m/>
    <m/>
    <s v="75"/>
    <m/>
    <s v="SAN ANTONIO"/>
    <s v="MARITIMO"/>
    <s v="POSORJA"/>
    <m/>
    <m/>
    <m/>
    <m/>
    <m/>
    <m/>
    <s v="ISTANBUL EXPRESS"/>
    <s v="CGMU5098150"/>
    <m/>
    <s v="ECUADOR          "/>
    <d v="2026-05-29T00:00:00"/>
    <s v="15.0"/>
    <n v="445"/>
    <m/>
    <m/>
    <m/>
    <s v="119278"/>
    <n v="119"/>
    <s v="999999"/>
    <m/>
    <s v="OPB SERVICIOS INTEGRALES SPA"/>
    <s v="L9363710"/>
    <s v="119278"/>
    <m/>
    <m/>
    <m/>
    <s v="5.5"/>
    <n v="475"/>
    <s v="CENTROAMERICA"/>
    <s v="ALMAHUE TRADICIONAL"/>
    <s v="AGRICOLA Y PACKING CACHAPOAL S.A"/>
    <s v="CMA CGM"/>
    <s v="SNG0504153"/>
    <s v="SNG0504153"/>
    <n v="46167"/>
    <m/>
    <s v="OPB SERVICIOS INTEGRALES SPA"/>
    <n v="46164"/>
    <d v="2026-05-29T00:00:00"/>
    <d v="2026-06-04T00:00:00"/>
    <x v="2"/>
  </r>
  <r>
    <s v="2025-2026"/>
    <n v="20421"/>
    <x v="2"/>
    <x v="2"/>
    <n v="22"/>
    <n v="5"/>
    <d v="2026-06-04T00:00:00"/>
    <s v="SAG"/>
    <s v="ALMAHUE EXPORT SPA"/>
    <s v="SEEDPLC"/>
    <n v="55"/>
    <s v="SEEDPLC CIA. LTDA."/>
    <n v="342"/>
    <s v="18.568.294-3"/>
    <s v="PABLO OTAIZA"/>
    <s v="SSBS90"/>
    <m/>
    <s v="L9363710"/>
    <m/>
    <s v="120030940"/>
    <s v="120030940"/>
    <s v="119278"/>
    <s v="NARANJAS"/>
    <s v="OC15G02"/>
    <s v="GRANEL"/>
    <n v="15"/>
    <s v="CAT-1"/>
    <s v="CAT-1"/>
    <s v="EXPORTACION"/>
    <s v="80"/>
    <n v="80"/>
    <n v="1200"/>
    <n v="10"/>
    <m/>
    <m/>
    <m/>
    <s v="75"/>
    <m/>
    <s v="SAN ANTONIO"/>
    <s v="MARITIMO"/>
    <s v="POSORJA"/>
    <m/>
    <m/>
    <m/>
    <m/>
    <m/>
    <m/>
    <s v="ISTANBUL EXPRESS"/>
    <s v="CGMU5098150"/>
    <m/>
    <s v="ECUADOR          "/>
    <d v="2026-05-29T00:00:00"/>
    <s v="15.0"/>
    <n v="445"/>
    <m/>
    <m/>
    <m/>
    <s v="119278"/>
    <n v="119"/>
    <s v="999999"/>
    <m/>
    <s v="OPB SERVICIOS INTEGRALES SPA"/>
    <s v="L9363710"/>
    <s v="119278"/>
    <m/>
    <m/>
    <m/>
    <s v="5.5"/>
    <n v="475"/>
    <s v="CENTROAMERICA"/>
    <s v="ALMAHUE TRADICIONAL"/>
    <s v="AGRICOLA Y PACKING CACHAPOAL S.A"/>
    <s v="CMA CGM"/>
    <s v="SNG0504153"/>
    <s v="SNG0504153"/>
    <n v="46167"/>
    <m/>
    <s v="OPB SERVICIOS INTEGRALES SPA"/>
    <n v="46164"/>
    <d v="2026-05-29T00:00:00"/>
    <d v="2026-06-04T00:00:00"/>
    <x v="2"/>
  </r>
  <r>
    <s v="2025-2026"/>
    <n v="20422"/>
    <x v="2"/>
    <x v="2"/>
    <n v="22"/>
    <n v="5"/>
    <d v="2026-06-04T00:00:00"/>
    <s v="SAG"/>
    <s v="ALMAHUE EXPORT SPA"/>
    <s v="SEEDPLC"/>
    <n v="55"/>
    <s v="SEEDPLC CIA. LTDA."/>
    <n v="342"/>
    <s v="18.568.294-3"/>
    <s v="PABLO OTAIZA"/>
    <s v="SSBS90"/>
    <m/>
    <s v="L9363710"/>
    <m/>
    <s v="120030947"/>
    <s v="120030947"/>
    <s v="119278"/>
    <s v="NARANJAS"/>
    <s v="OC15G02"/>
    <s v="GRANEL"/>
    <n v="15"/>
    <s v="CAT-1"/>
    <s v="CAT-1"/>
    <s v="EXPORTACION"/>
    <s v="40"/>
    <n v="27"/>
    <n v="405"/>
    <n v="10"/>
    <m/>
    <m/>
    <m/>
    <s v="75"/>
    <m/>
    <s v="SAN ANTONIO"/>
    <s v="MARITIMO"/>
    <s v="POSORJA"/>
    <m/>
    <m/>
    <m/>
    <m/>
    <m/>
    <m/>
    <s v="ISTANBUL EXPRESS"/>
    <s v="CGMU5098150"/>
    <m/>
    <s v="ECUADOR          "/>
    <d v="2026-05-29T00:00:00"/>
    <s v="15.0"/>
    <n v="445"/>
    <m/>
    <m/>
    <m/>
    <s v="119278"/>
    <n v="119"/>
    <s v="999999"/>
    <m/>
    <s v="OPB SERVICIOS INTEGRALES SPA"/>
    <s v="L9363710"/>
    <s v="119278"/>
    <m/>
    <m/>
    <m/>
    <s v="5.5"/>
    <n v="475"/>
    <s v="CENTROAMERICA"/>
    <s v="ALMAHUE TRADICIONAL"/>
    <s v="AGRICOLA Y PACKING CACHAPOAL S.A"/>
    <s v="CMA CGM"/>
    <s v="SNG0504153"/>
    <s v="SNG0504153"/>
    <n v="46167"/>
    <m/>
    <s v="OPB SERVICIOS INTEGRALES SPA"/>
    <n v="46164"/>
    <d v="2026-05-29T00:00:00"/>
    <d v="2026-06-04T00:00:00"/>
    <x v="2"/>
  </r>
  <r>
    <s v="2025-2026"/>
    <n v="20423"/>
    <x v="2"/>
    <x v="2"/>
    <n v="22"/>
    <n v="5"/>
    <d v="2026-06-04T00:00:00"/>
    <s v="SAG"/>
    <s v="ALMAHUE EXPORT SPA"/>
    <s v="SEEDPLC"/>
    <n v="55"/>
    <s v="SEEDPLC CIA. LTDA."/>
    <n v="342"/>
    <s v="18.568.294-3"/>
    <s v="PABLO OTAIZA"/>
    <s v="SSBS90"/>
    <m/>
    <s v="L9363710"/>
    <m/>
    <s v="120030947"/>
    <s v="120030947"/>
    <s v="119278"/>
    <s v="NARANJAS"/>
    <s v="OC15G02"/>
    <s v="GRANEL"/>
    <n v="15"/>
    <s v="CAT-1"/>
    <s v="CAT-1"/>
    <s v="EXPORTACION"/>
    <s v="40"/>
    <n v="53"/>
    <n v="795"/>
    <n v="10"/>
    <m/>
    <m/>
    <m/>
    <s v="75"/>
    <m/>
    <s v="SAN ANTONIO"/>
    <s v="MARITIMO"/>
    <s v="POSORJA"/>
    <m/>
    <m/>
    <m/>
    <m/>
    <m/>
    <m/>
    <s v="ISTANBUL EXPRESS"/>
    <s v="CGMU5098150"/>
    <m/>
    <s v="ECUADOR          "/>
    <d v="2026-05-29T00:00:00"/>
    <s v="15.0"/>
    <n v="445"/>
    <m/>
    <m/>
    <m/>
    <s v="119278"/>
    <n v="119"/>
    <s v="999999"/>
    <m/>
    <s v="OPB SERVICIOS INTEGRALES SPA"/>
    <s v="L9363710"/>
    <s v="119278"/>
    <m/>
    <m/>
    <m/>
    <s v="5.5"/>
    <n v="475"/>
    <s v="CENTROAMERICA"/>
    <s v="ALMAHUE TRADICIONAL"/>
    <s v="AGRICOLA Y PACKING CACHAPOAL S.A"/>
    <s v="CMA CGM"/>
    <s v="SNG0504153"/>
    <s v="SNG0504153"/>
    <n v="46167"/>
    <m/>
    <s v="OPB SERVICIOS INTEGRALES SPA"/>
    <n v="46164"/>
    <d v="2026-05-29T00:00:00"/>
    <d v="2026-06-04T00:00:00"/>
    <x v="2"/>
  </r>
  <r>
    <s v="2025-2026"/>
    <n v="20424"/>
    <x v="2"/>
    <x v="2"/>
    <n v="22"/>
    <n v="5"/>
    <d v="2026-06-04T00:00:00"/>
    <s v="SAG"/>
    <s v="ALMAHUE EXPORT SPA"/>
    <s v="SEEDPLC"/>
    <n v="55"/>
    <s v="SEEDPLC CIA. LTDA."/>
    <n v="342"/>
    <s v="18.568.294-3"/>
    <s v="PABLO OTAIZA"/>
    <s v="SSBS90"/>
    <m/>
    <s v="L9363710"/>
    <m/>
    <s v="120030948"/>
    <s v="120030948"/>
    <s v="119278"/>
    <s v="NARANJAS"/>
    <s v="OC15G02"/>
    <s v="GRANEL"/>
    <n v="15"/>
    <s v="CAT-1"/>
    <s v="CAT-1"/>
    <s v="EXPORTACION"/>
    <s v="50"/>
    <n v="72"/>
    <n v="1080"/>
    <n v="10"/>
    <m/>
    <m/>
    <m/>
    <s v="75"/>
    <m/>
    <s v="SAN ANTONIO"/>
    <s v="MARITIMO"/>
    <s v="POSORJA"/>
    <m/>
    <m/>
    <m/>
    <m/>
    <m/>
    <m/>
    <s v="ISTANBUL EXPRESS"/>
    <s v="CGMU5098150"/>
    <m/>
    <s v="ECUADOR          "/>
    <d v="2026-05-29T00:00:00"/>
    <s v="15.0"/>
    <n v="445"/>
    <m/>
    <m/>
    <m/>
    <s v="119278"/>
    <n v="119"/>
    <s v="999999"/>
    <m/>
    <s v="OPB SERVICIOS INTEGRALES SPA"/>
    <s v="L9363710"/>
    <s v="119278"/>
    <m/>
    <m/>
    <m/>
    <s v="5.5"/>
    <n v="475"/>
    <s v="CENTROAMERICA"/>
    <s v="ALMAHUE TRADICIONAL"/>
    <s v="AGRICOLA Y PACKING CACHAPOAL S.A"/>
    <s v="CMA CGM"/>
    <s v="SNG0504153"/>
    <s v="SNG0504153"/>
    <n v="46167"/>
    <m/>
    <s v="OPB SERVICIOS INTEGRALES SPA"/>
    <n v="46164"/>
    <d v="2026-05-29T00:00:00"/>
    <d v="2026-06-04T00:00:00"/>
    <x v="2"/>
  </r>
  <r>
    <s v="2025-2026"/>
    <n v="20425"/>
    <x v="2"/>
    <x v="2"/>
    <n v="22"/>
    <n v="5"/>
    <d v="2026-06-04T00:00:00"/>
    <s v="SAG"/>
    <s v="ALMAHUE EXPORT SPA"/>
    <s v="SEEDPLC"/>
    <n v="55"/>
    <s v="SEEDPLC CIA. LTDA."/>
    <n v="342"/>
    <s v="18.568.294-3"/>
    <s v="PABLO OTAIZA"/>
    <s v="SSBS90"/>
    <m/>
    <s v="L9363710"/>
    <m/>
    <s v="120030948"/>
    <s v="120030948"/>
    <s v="119278"/>
    <s v="NARANJAS"/>
    <s v="OC15G02"/>
    <s v="GRANEL"/>
    <n v="15"/>
    <s v="CAT-1"/>
    <s v="CAT-1"/>
    <s v="EXPORTACION"/>
    <s v="50"/>
    <n v="8"/>
    <n v="120"/>
    <n v="10"/>
    <m/>
    <m/>
    <m/>
    <s v="75"/>
    <m/>
    <s v="SAN ANTONIO"/>
    <s v="MARITIMO"/>
    <s v="POSORJA"/>
    <m/>
    <m/>
    <m/>
    <m/>
    <m/>
    <m/>
    <s v="ISTANBUL EXPRESS"/>
    <s v="CGMU5098150"/>
    <m/>
    <s v="ECUADOR          "/>
    <d v="2026-05-29T00:00:00"/>
    <s v="15.0"/>
    <n v="445"/>
    <m/>
    <m/>
    <m/>
    <s v="119278"/>
    <n v="119"/>
    <s v="999999"/>
    <m/>
    <s v="OPB SERVICIOS INTEGRALES SPA"/>
    <s v="L9363710"/>
    <s v="119278"/>
    <m/>
    <m/>
    <m/>
    <s v="5.5"/>
    <n v="475"/>
    <s v="CENTROAMERICA"/>
    <s v="ALMAHUE TRADICIONAL"/>
    <s v="AGRICOLA Y PACKING CACHAPOAL S.A"/>
    <s v="CMA CGM"/>
    <s v="SNG0504153"/>
    <s v="SNG0504153"/>
    <n v="46167"/>
    <m/>
    <s v="OPB SERVICIOS INTEGRALES SPA"/>
    <n v="46164"/>
    <d v="2026-05-29T00:00:00"/>
    <d v="2026-06-04T00:00:00"/>
    <x v="2"/>
  </r>
  <r>
    <s v="2025-2026"/>
    <n v="20426"/>
    <x v="2"/>
    <x v="2"/>
    <n v="22"/>
    <n v="5"/>
    <d v="2026-06-04T00:00:00"/>
    <s v="SAG"/>
    <s v="ALMAHUE EXPORT SPA"/>
    <s v="SEEDPLC"/>
    <n v="55"/>
    <s v="SEEDPLC CIA. LTDA."/>
    <n v="342"/>
    <s v="18.568.294-3"/>
    <s v="PABLO OTAIZA"/>
    <s v="SSBS90"/>
    <m/>
    <s v="L9363710"/>
    <m/>
    <s v="120030950"/>
    <s v="120030950"/>
    <s v="119278"/>
    <s v="NARANJAS"/>
    <s v="OC15G02"/>
    <s v="GRANEL"/>
    <n v="15"/>
    <s v="CAT-1"/>
    <s v="CAT-1"/>
    <s v="EXPORTACION"/>
    <s v="70"/>
    <n v="17"/>
    <n v="255"/>
    <n v="10"/>
    <m/>
    <m/>
    <m/>
    <s v="75"/>
    <m/>
    <s v="SAN ANTONIO"/>
    <s v="MARITIMO"/>
    <s v="POSORJA"/>
    <m/>
    <m/>
    <m/>
    <m/>
    <m/>
    <m/>
    <s v="ISTANBUL EXPRESS"/>
    <s v="CGMU5098150"/>
    <m/>
    <s v="ECUADOR          "/>
    <d v="2026-05-29T00:00:00"/>
    <s v="15.0"/>
    <n v="445"/>
    <m/>
    <m/>
    <m/>
    <s v="119278"/>
    <n v="119"/>
    <s v="999999"/>
    <m/>
    <s v="OPB SERVICIOS INTEGRALES SPA"/>
    <s v="L9363710"/>
    <s v="119278"/>
    <m/>
    <m/>
    <m/>
    <s v="5.5"/>
    <n v="475"/>
    <s v="CENTROAMERICA"/>
    <s v="ALMAHUE TRADICIONAL"/>
    <s v="AGRICOLA Y PACKING CACHAPOAL S.A"/>
    <s v="CMA CGM"/>
    <s v="SNG0504153"/>
    <s v="SNG0504153"/>
    <n v="46167"/>
    <m/>
    <s v="OPB SERVICIOS INTEGRALES SPA"/>
    <n v="46164"/>
    <d v="2026-05-29T00:00:00"/>
    <d v="2026-06-04T00:00:00"/>
    <x v="2"/>
  </r>
  <r>
    <s v="2025-2026"/>
    <n v="20427"/>
    <x v="2"/>
    <x v="2"/>
    <n v="22"/>
    <n v="5"/>
    <d v="2026-06-04T00:00:00"/>
    <s v="SAG"/>
    <s v="ALMAHUE EXPORT SPA"/>
    <s v="SEEDPLC"/>
    <n v="55"/>
    <s v="SEEDPLC CIA. LTDA."/>
    <n v="342"/>
    <s v="18.568.294-3"/>
    <s v="PABLO OTAIZA"/>
    <s v="SSBS90"/>
    <m/>
    <s v="L9363710"/>
    <m/>
    <s v="120030950"/>
    <s v="120030950"/>
    <s v="119278"/>
    <s v="NARANJAS"/>
    <s v="OC15G02"/>
    <s v="GRANEL"/>
    <n v="15"/>
    <s v="CAT-1"/>
    <s v="CAT-1"/>
    <s v="EXPORTACION"/>
    <s v="70"/>
    <n v="63"/>
    <n v="945"/>
    <n v="10"/>
    <m/>
    <m/>
    <m/>
    <s v="75"/>
    <m/>
    <s v="SAN ANTONIO"/>
    <s v="MARITIMO"/>
    <s v="POSORJA"/>
    <m/>
    <m/>
    <m/>
    <m/>
    <m/>
    <m/>
    <s v="ISTANBUL EXPRESS"/>
    <s v="CGMU5098150"/>
    <m/>
    <s v="ECUADOR          "/>
    <d v="2026-05-29T00:00:00"/>
    <s v="15.0"/>
    <n v="445"/>
    <m/>
    <m/>
    <m/>
    <s v="119278"/>
    <n v="119"/>
    <s v="999999"/>
    <m/>
    <s v="OPB SERVICIOS INTEGRALES SPA"/>
    <s v="L9363710"/>
    <s v="119278"/>
    <m/>
    <m/>
    <m/>
    <s v="5.5"/>
    <n v="475"/>
    <s v="CENTROAMERICA"/>
    <s v="ALMAHUE TRADICIONAL"/>
    <s v="AGRICOLA Y PACKING CACHAPOAL S.A"/>
    <s v="CMA CGM"/>
    <s v="SNG0504153"/>
    <s v="SNG0504153"/>
    <n v="46167"/>
    <m/>
    <s v="OPB SERVICIOS INTEGRALES SPA"/>
    <n v="46164"/>
    <d v="2026-05-29T00:00:00"/>
    <d v="2026-06-04T00:00:00"/>
    <x v="2"/>
  </r>
  <r>
    <s v="2025-2026"/>
    <n v="20428"/>
    <x v="2"/>
    <x v="2"/>
    <n v="22"/>
    <n v="5"/>
    <d v="2026-06-04T00:00:00"/>
    <s v="SAG"/>
    <s v="ALMAHUE EXPORT SPA"/>
    <s v="SEEDPLC"/>
    <n v="55"/>
    <s v="SEEDPLC CIA. LTDA."/>
    <n v="342"/>
    <s v="18.568.294-3"/>
    <s v="PABLO OTAIZA"/>
    <s v="SSBS90"/>
    <m/>
    <s v="L9363710"/>
    <m/>
    <s v="120030951"/>
    <s v="120030951"/>
    <s v="119278"/>
    <s v="NARANJAS"/>
    <s v="OC15G02"/>
    <s v="GRANEL"/>
    <n v="15"/>
    <s v="CAT-1"/>
    <s v="CAT-1"/>
    <s v="EXPORTACION"/>
    <s v="80"/>
    <n v="18"/>
    <n v="270"/>
    <n v="10"/>
    <m/>
    <m/>
    <m/>
    <s v="75"/>
    <m/>
    <s v="SAN ANTONIO"/>
    <s v="MARITIMO"/>
    <s v="POSORJA"/>
    <m/>
    <m/>
    <m/>
    <m/>
    <m/>
    <m/>
    <s v="ISTANBUL EXPRESS"/>
    <s v="CGMU5098150"/>
    <m/>
    <s v="ECUADOR          "/>
    <d v="2026-05-29T00:00:00"/>
    <s v="15.0"/>
    <n v="445"/>
    <m/>
    <m/>
    <m/>
    <s v="119278"/>
    <n v="119"/>
    <s v="999999"/>
    <m/>
    <s v="OPB SERVICIOS INTEGRALES SPA"/>
    <s v="L9363710"/>
    <s v="119278"/>
    <m/>
    <m/>
    <m/>
    <s v="5.5"/>
    <n v="475"/>
    <s v="CENTROAMERICA"/>
    <s v="ALMAHUE TRADICIONAL"/>
    <s v="AGRICOLA Y PACKING CACHAPOAL S.A"/>
    <s v="CMA CGM"/>
    <s v="SNG0504153"/>
    <s v="SNG0504153"/>
    <n v="46167"/>
    <m/>
    <s v="OPB SERVICIOS INTEGRALES SPA"/>
    <n v="46164"/>
    <d v="2026-05-29T00:00:00"/>
    <d v="2026-06-04T00:00:00"/>
    <x v="2"/>
  </r>
  <r>
    <s v="2025-2026"/>
    <n v="20429"/>
    <x v="2"/>
    <x v="2"/>
    <n v="22"/>
    <n v="5"/>
    <d v="2026-06-04T00:00:00"/>
    <s v="SAG"/>
    <s v="ALMAHUE EXPORT SPA"/>
    <s v="SEEDPLC"/>
    <n v="55"/>
    <s v="SEEDPLC CIA. LTDA."/>
    <n v="342"/>
    <s v="18.568.294-3"/>
    <s v="PABLO OTAIZA"/>
    <s v="SSBS90"/>
    <m/>
    <s v="L9363710"/>
    <m/>
    <s v="120030951"/>
    <s v="120030951"/>
    <s v="119278"/>
    <s v="NARANJAS"/>
    <s v="OC15G02"/>
    <s v="GRANEL"/>
    <n v="15"/>
    <s v="CAT-1"/>
    <s v="CAT-1"/>
    <s v="EXPORTACION"/>
    <s v="80"/>
    <n v="62"/>
    <n v="930"/>
    <n v="10"/>
    <m/>
    <m/>
    <m/>
    <s v="75"/>
    <m/>
    <s v="SAN ANTONIO"/>
    <s v="MARITIMO"/>
    <s v="POSORJA"/>
    <m/>
    <m/>
    <m/>
    <m/>
    <m/>
    <m/>
    <s v="ISTANBUL EXPRESS"/>
    <s v="CGMU5098150"/>
    <m/>
    <s v="ECUADOR          "/>
    <d v="2026-05-29T00:00:00"/>
    <s v="15.0"/>
    <n v="445"/>
    <m/>
    <m/>
    <m/>
    <s v="119278"/>
    <n v="119"/>
    <s v="999999"/>
    <m/>
    <s v="OPB SERVICIOS INTEGRALES SPA"/>
    <s v="L9363710"/>
    <s v="119278"/>
    <m/>
    <m/>
    <m/>
    <s v="5.5"/>
    <n v="475"/>
    <s v="CENTROAMERICA"/>
    <s v="ALMAHUE TRADICIONAL"/>
    <s v="AGRICOLA Y PACKING CACHAPOAL S.A"/>
    <s v="CMA CGM"/>
    <s v="SNG0504153"/>
    <s v="SNG0504153"/>
    <n v="46167"/>
    <m/>
    <s v="OPB SERVICIOS INTEGRALES SPA"/>
    <n v="46164"/>
    <d v="2026-05-29T00:00:00"/>
    <d v="2026-06-04T00:00:00"/>
    <x v="2"/>
  </r>
  <r>
    <s v="2025-2026"/>
    <n v="20430"/>
    <x v="2"/>
    <x v="2"/>
    <n v="22"/>
    <n v="5"/>
    <d v="2026-06-04T00:00:00"/>
    <s v="SAG"/>
    <s v="ALMAHUE EXPORT SPA"/>
    <s v="SEEDPLC"/>
    <n v="55"/>
    <s v="SEEDPLC CIA. LTDA."/>
    <n v="342"/>
    <s v="18.568.294-3"/>
    <s v="PABLO OTAIZA"/>
    <s v="SSBS90"/>
    <m/>
    <s v="L9363710"/>
    <m/>
    <s v="120030960"/>
    <s v="120030960"/>
    <s v="119278"/>
    <s v="NARANJAS"/>
    <s v="OC15G02"/>
    <s v="GRANEL"/>
    <n v="15"/>
    <s v="CAT-1"/>
    <s v="CAT-1"/>
    <s v="EXPORTACION"/>
    <s v="80"/>
    <n v="80"/>
    <n v="1200"/>
    <n v="10"/>
    <m/>
    <m/>
    <m/>
    <s v="75"/>
    <m/>
    <s v="SAN ANTONIO"/>
    <s v="MARITIMO"/>
    <s v="POSORJA"/>
    <m/>
    <m/>
    <m/>
    <m/>
    <m/>
    <m/>
    <s v="ISTANBUL EXPRESS"/>
    <s v="CGMU5098150"/>
    <m/>
    <s v="ECUADOR          "/>
    <d v="2026-05-29T00:00:00"/>
    <s v="15.0"/>
    <n v="445"/>
    <m/>
    <m/>
    <m/>
    <s v="119278"/>
    <n v="119"/>
    <s v="999999"/>
    <m/>
    <s v="OPB SERVICIOS INTEGRALES SPA"/>
    <s v="L9363710"/>
    <s v="119278"/>
    <m/>
    <m/>
    <m/>
    <s v="5.5"/>
    <n v="475"/>
    <s v="CENTROAMERICA"/>
    <s v="ALMAHUE TRADICIONAL"/>
    <s v="AGRICOLA Y PACKING CACHAPOAL S.A"/>
    <s v="CMA CGM"/>
    <s v="SNG0504153"/>
    <s v="SNG0504153"/>
    <n v="46167"/>
    <m/>
    <s v="OPB SERVICIOS INTEGRALES SPA"/>
    <n v="46164"/>
    <d v="2026-05-29T00:00:00"/>
    <d v="2026-06-04T00:00:00"/>
    <x v="2"/>
  </r>
  <r>
    <s v="2025-2026"/>
    <n v="20431"/>
    <x v="2"/>
    <x v="2"/>
    <n v="22"/>
    <n v="5"/>
    <d v="2026-06-04T00:00:00"/>
    <s v="SAG"/>
    <s v="ALMAHUE EXPORT SPA"/>
    <s v="SEEDPLC"/>
    <n v="55"/>
    <s v="SEEDPLC CIA. LTDA."/>
    <n v="342"/>
    <s v="18.568.294-3"/>
    <s v="PABLO OTAIZA"/>
    <s v="SSBS90"/>
    <m/>
    <s v="L9363710"/>
    <m/>
    <s v="120030962"/>
    <s v="120030962"/>
    <s v="119278"/>
    <s v="NARANJAS"/>
    <s v="OC15G02"/>
    <s v="GRANEL"/>
    <n v="15"/>
    <s v="CAT-1"/>
    <s v="CAT-1"/>
    <s v="EXPORTACION"/>
    <s v="70"/>
    <n v="80"/>
    <n v="1200"/>
    <n v="10"/>
    <m/>
    <m/>
    <m/>
    <s v="75"/>
    <m/>
    <s v="SAN ANTONIO"/>
    <s v="MARITIMO"/>
    <s v="POSORJA"/>
    <m/>
    <m/>
    <m/>
    <m/>
    <m/>
    <m/>
    <s v="ISTANBUL EXPRESS"/>
    <s v="CGMU5098150"/>
    <m/>
    <s v="ECUADOR          "/>
    <d v="2026-05-29T00:00:00"/>
    <s v="15.0"/>
    <n v="445"/>
    <m/>
    <m/>
    <m/>
    <s v="119278"/>
    <n v="119"/>
    <s v="999999"/>
    <m/>
    <s v="OPB SERVICIOS INTEGRALES SPA"/>
    <s v="L9363710"/>
    <s v="119278"/>
    <m/>
    <m/>
    <m/>
    <s v="5.5"/>
    <n v="475"/>
    <s v="CENTROAMERICA"/>
    <s v="ALMAHUE TRADICIONAL"/>
    <s v="AGRICOLA Y PACKING CACHAPOAL S.A"/>
    <s v="CMA CGM"/>
    <s v="SNG0504153"/>
    <s v="SNG0504153"/>
    <n v="46167"/>
    <m/>
    <s v="OPB SERVICIOS INTEGRALES SPA"/>
    <n v="46164"/>
    <d v="2026-05-29T00:00:00"/>
    <d v="2026-06-04T00:00:00"/>
    <x v="2"/>
  </r>
  <r>
    <s v="2025-2026"/>
    <n v="20432"/>
    <x v="2"/>
    <x v="2"/>
    <n v="22"/>
    <n v="5"/>
    <d v="2026-06-04T00:00:00"/>
    <s v="SAG"/>
    <s v="ALMAHUE EXPORT SPA"/>
    <s v="SEEDPLC"/>
    <n v="55"/>
    <s v="SEEDPLC CIA. LTDA."/>
    <n v="342"/>
    <s v="18.568.294-3"/>
    <s v="PABLO OTAIZA"/>
    <s v="SSBS90"/>
    <m/>
    <s v="L9363710"/>
    <m/>
    <s v="120030965"/>
    <s v="120030965"/>
    <s v="119278"/>
    <s v="NARANJAS"/>
    <s v="OC15G02"/>
    <s v="GRANEL"/>
    <n v="15"/>
    <s v="CAT-1"/>
    <s v="CAT-1"/>
    <s v="EXPORTACION"/>
    <s v="50"/>
    <n v="80"/>
    <n v="1200"/>
    <n v="10"/>
    <m/>
    <m/>
    <m/>
    <s v="75"/>
    <m/>
    <s v="SAN ANTONIO"/>
    <s v="MARITIMO"/>
    <s v="POSORJA"/>
    <m/>
    <m/>
    <m/>
    <m/>
    <m/>
    <m/>
    <s v="ISTANBUL EXPRESS"/>
    <s v="CGMU5098150"/>
    <m/>
    <s v="ECUADOR          "/>
    <d v="2026-05-29T00:00:00"/>
    <s v="15.0"/>
    <n v="445"/>
    <m/>
    <m/>
    <m/>
    <s v="119278"/>
    <n v="119"/>
    <s v="999999"/>
    <m/>
    <s v="OPB SERVICIOS INTEGRALES SPA"/>
    <s v="L9363710"/>
    <s v="119278"/>
    <m/>
    <m/>
    <m/>
    <s v="5.5"/>
    <n v="475"/>
    <s v="CENTROAMERICA"/>
    <s v="ALMAHUE TRADICIONAL"/>
    <s v="AGRICOLA Y PACKING CACHAPOAL S.A"/>
    <s v="CMA CGM"/>
    <s v="SNG0504153"/>
    <s v="SNG0504153"/>
    <n v="46167"/>
    <m/>
    <s v="OPB SERVICIOS INTEGRALES SPA"/>
    <n v="46164"/>
    <d v="2026-05-29T00:00:00"/>
    <d v="2026-06-04T00:00:00"/>
    <x v="2"/>
  </r>
  <r>
    <s v="2025-2026"/>
    <n v="20433"/>
    <x v="2"/>
    <x v="2"/>
    <n v="22"/>
    <n v="5"/>
    <d v="2026-06-04T00:00:00"/>
    <s v="SAG"/>
    <s v="ALMAHUE EXPORT SPA"/>
    <s v="SEEDPLC"/>
    <n v="55"/>
    <s v="SEEDPLC CIA. LTDA."/>
    <n v="342"/>
    <s v="18.568.294-3"/>
    <s v="PABLO OTAIZA"/>
    <s v="SSBS90"/>
    <m/>
    <s v="L9363710"/>
    <m/>
    <s v="120030966"/>
    <s v="120030966"/>
    <s v="119278"/>
    <s v="NARANJAS"/>
    <s v="OC15G02"/>
    <s v="GRANEL"/>
    <n v="15"/>
    <s v="CAT-1"/>
    <s v="CAT-1"/>
    <s v="EXPORTACION"/>
    <s v="70"/>
    <n v="80"/>
    <n v="1200"/>
    <n v="10"/>
    <m/>
    <m/>
    <m/>
    <s v="75"/>
    <m/>
    <s v="SAN ANTONIO"/>
    <s v="MARITIMO"/>
    <s v="POSORJA"/>
    <m/>
    <m/>
    <m/>
    <m/>
    <m/>
    <m/>
    <s v="ISTANBUL EXPRESS"/>
    <s v="CGMU5098150"/>
    <m/>
    <s v="ECUADOR          "/>
    <d v="2026-05-29T00:00:00"/>
    <s v="15.0"/>
    <n v="445"/>
    <m/>
    <m/>
    <m/>
    <s v="119278"/>
    <n v="119"/>
    <s v="999999"/>
    <m/>
    <s v="OPB SERVICIOS INTEGRALES SPA"/>
    <s v="L9363710"/>
    <s v="119278"/>
    <m/>
    <m/>
    <m/>
    <s v="5.5"/>
    <n v="475"/>
    <s v="CENTROAMERICA"/>
    <s v="ALMAHUE TRADICIONAL"/>
    <s v="AGRICOLA Y PACKING CACHAPOAL S.A"/>
    <s v="CMA CGM"/>
    <s v="SNG0504153"/>
    <s v="SNG0504153"/>
    <n v="46167"/>
    <m/>
    <s v="OPB SERVICIOS INTEGRALES SPA"/>
    <n v="46164"/>
    <d v="2026-05-29T00:00:00"/>
    <d v="2026-06-04T00:00:00"/>
    <x v="2"/>
  </r>
  <r>
    <s v="2025-2026"/>
    <n v="20434"/>
    <x v="2"/>
    <x v="2"/>
    <n v="22"/>
    <n v="5"/>
    <d v="2026-06-04T00:00:00"/>
    <s v="SAG"/>
    <s v="ALMAHUE EXPORT SPA"/>
    <s v="SEEDPLC"/>
    <n v="55"/>
    <s v="SEEDPLC CIA. LTDA."/>
    <n v="342"/>
    <s v="18.568.294-3"/>
    <s v="PABLO OTAIZA"/>
    <s v="SSBS90"/>
    <m/>
    <s v="L9363710"/>
    <m/>
    <s v="120030969"/>
    <s v="120030969"/>
    <s v="119278"/>
    <s v="NARANJAS"/>
    <s v="OC15G02"/>
    <s v="GRANEL"/>
    <n v="15"/>
    <s v="CAT-1"/>
    <s v="CAT-1"/>
    <s v="EXPORTACION"/>
    <s v="50"/>
    <n v="80"/>
    <n v="1200"/>
    <n v="10"/>
    <m/>
    <m/>
    <m/>
    <s v="75"/>
    <m/>
    <s v="SAN ANTONIO"/>
    <s v="MARITIMO"/>
    <s v="POSORJA"/>
    <m/>
    <m/>
    <m/>
    <m/>
    <m/>
    <m/>
    <s v="ISTANBUL EXPRESS"/>
    <s v="CGMU5098150"/>
    <m/>
    <s v="ECUADOR          "/>
    <d v="2026-05-29T00:00:00"/>
    <s v="15.0"/>
    <n v="445"/>
    <m/>
    <m/>
    <m/>
    <s v="119278"/>
    <n v="119"/>
    <s v="999999"/>
    <m/>
    <s v="OPB SERVICIOS INTEGRALES SPA"/>
    <s v="L9363710"/>
    <s v="119278"/>
    <m/>
    <m/>
    <m/>
    <s v="5.5"/>
    <n v="475"/>
    <s v="CENTROAMERICA"/>
    <s v="ALMAHUE TRADICIONAL"/>
    <s v="AGRICOLA Y PACKING CACHAPOAL S.A"/>
    <s v="CMA CGM"/>
    <s v="SNG0504153"/>
    <s v="SNG0504153"/>
    <n v="46167"/>
    <m/>
    <s v="OPB SERVICIOS INTEGRALES SPA"/>
    <n v="46164"/>
    <d v="2026-05-29T00:00:00"/>
    <d v="2026-06-04T00:00:00"/>
    <x v="2"/>
  </r>
  <r>
    <s v="2025-2026"/>
    <n v="20435"/>
    <x v="2"/>
    <x v="2"/>
    <n v="22"/>
    <n v="5"/>
    <d v="2026-06-04T00:00:00"/>
    <s v="SAG"/>
    <s v="ALMAHUE EXPORT SPA"/>
    <s v="SEEDPLC"/>
    <n v="55"/>
    <s v="SEEDPLC CIA. LTDA."/>
    <n v="342"/>
    <s v="18.568.294-3"/>
    <s v="PABLO OTAIZA"/>
    <s v="SSBS90"/>
    <m/>
    <s v="L9363710"/>
    <m/>
    <s v="120030972"/>
    <s v="120030972"/>
    <s v="119278"/>
    <s v="NARANJAS"/>
    <s v="OC15G02"/>
    <s v="GRANEL"/>
    <n v="15"/>
    <s v="CAT-1"/>
    <s v="CAT-1"/>
    <s v="EXPORTACION"/>
    <s v="70"/>
    <n v="80"/>
    <n v="1200"/>
    <n v="10"/>
    <m/>
    <m/>
    <m/>
    <s v="75"/>
    <m/>
    <s v="SAN ANTONIO"/>
    <s v="MARITIMO"/>
    <s v="POSORJA"/>
    <m/>
    <m/>
    <m/>
    <m/>
    <m/>
    <m/>
    <s v="ISTANBUL EXPRESS"/>
    <s v="CGMU5098150"/>
    <m/>
    <s v="ECUADOR          "/>
    <d v="2026-05-29T00:00:00"/>
    <s v="15.0"/>
    <n v="445"/>
    <m/>
    <m/>
    <m/>
    <s v="119278"/>
    <n v="119"/>
    <s v="999999"/>
    <m/>
    <s v="OPB SERVICIOS INTEGRALES SPA"/>
    <s v="L9363710"/>
    <s v="119278"/>
    <m/>
    <m/>
    <m/>
    <s v="5.5"/>
    <n v="475"/>
    <s v="CENTROAMERICA"/>
    <s v="ALMAHUE TRADICIONAL"/>
    <s v="AGRICOLA Y PACKING CACHAPOAL S.A"/>
    <s v="CMA CGM"/>
    <s v="SNG0504153"/>
    <s v="SNG0504153"/>
    <n v="46167"/>
    <m/>
    <s v="OPB SERVICIOS INTEGRALES SPA"/>
    <n v="46164"/>
    <d v="2026-05-29T00:00:00"/>
    <d v="2026-06-04T00:00:00"/>
    <x v="2"/>
  </r>
  <r>
    <s v="2025-2026"/>
    <n v="20436"/>
    <x v="2"/>
    <x v="2"/>
    <n v="22"/>
    <n v="5"/>
    <d v="2026-06-04T00:00:00"/>
    <s v="SAG"/>
    <s v="ALMAHUE EXPORT SPA"/>
    <s v="SEEDPLC"/>
    <n v="55"/>
    <s v="SEEDPLC CIA. LTDA."/>
    <n v="342"/>
    <s v="18.568.294-3"/>
    <s v="PABLO OTAIZA"/>
    <s v="SSBS90"/>
    <m/>
    <s v="L9363710"/>
    <m/>
    <s v="120030973"/>
    <s v="120030973"/>
    <s v="119278"/>
    <s v="NARANJAS"/>
    <s v="OC15G02"/>
    <s v="GRANEL"/>
    <n v="15"/>
    <s v="CAT-1"/>
    <s v="CAT-1"/>
    <s v="EXPORTACION"/>
    <s v="80"/>
    <n v="80"/>
    <n v="1200"/>
    <n v="10"/>
    <m/>
    <m/>
    <m/>
    <s v="75"/>
    <m/>
    <s v="SAN ANTONIO"/>
    <s v="MARITIMO"/>
    <s v="POSORJA"/>
    <m/>
    <m/>
    <m/>
    <m/>
    <m/>
    <m/>
    <s v="ISTANBUL EXPRESS"/>
    <s v="CGMU5098150"/>
    <m/>
    <s v="ECUADOR          "/>
    <d v="2026-05-29T00:00:00"/>
    <s v="15.0"/>
    <n v="445"/>
    <m/>
    <m/>
    <m/>
    <s v="119278"/>
    <n v="119"/>
    <s v="999999"/>
    <m/>
    <s v="OPB SERVICIOS INTEGRALES SPA"/>
    <s v="L9363710"/>
    <s v="119278"/>
    <m/>
    <m/>
    <m/>
    <s v="5.5"/>
    <n v="475"/>
    <s v="CENTROAMERICA"/>
    <s v="ALMAHUE TRADICIONAL"/>
    <s v="AGRICOLA Y PACKING CACHAPOAL S.A"/>
    <s v="CMA CGM"/>
    <s v="SNG0504153"/>
    <s v="SNG0504153"/>
    <n v="46167"/>
    <m/>
    <s v="OPB SERVICIOS INTEGRALES SPA"/>
    <n v="46164"/>
    <d v="2026-05-29T00:00:00"/>
    <d v="2026-06-04T00:00:00"/>
    <x v="2"/>
  </r>
  <r>
    <s v="2025-2026"/>
    <n v="20437"/>
    <x v="2"/>
    <x v="2"/>
    <n v="22"/>
    <n v="5"/>
    <d v="2026-06-04T00:00:00"/>
    <s v="SAG"/>
    <s v="ALMAHUE EXPORT SPA"/>
    <s v="SEEDPLC"/>
    <n v="55"/>
    <s v="SEEDPLC CIA. LTDA."/>
    <n v="342"/>
    <s v="18.568.294-3"/>
    <s v="PABLO OTAIZA"/>
    <s v="SSBS90"/>
    <m/>
    <s v="L9363710"/>
    <m/>
    <s v="120030977"/>
    <s v="120030977"/>
    <s v="119278"/>
    <s v="NARANJAS"/>
    <s v="OC15G02"/>
    <s v="GRANEL"/>
    <n v="15"/>
    <s v="CAT-1"/>
    <s v="CAT-1"/>
    <s v="EXPORTACION"/>
    <s v="80"/>
    <n v="80"/>
    <n v="1200"/>
    <n v="10"/>
    <m/>
    <m/>
    <m/>
    <s v="75"/>
    <m/>
    <s v="SAN ANTONIO"/>
    <s v="MARITIMO"/>
    <s v="POSORJA"/>
    <m/>
    <m/>
    <m/>
    <m/>
    <m/>
    <m/>
    <s v="ISTANBUL EXPRESS"/>
    <s v="CGMU5098150"/>
    <m/>
    <s v="ECUADOR          "/>
    <d v="2026-05-29T00:00:00"/>
    <s v="15.0"/>
    <n v="445"/>
    <m/>
    <m/>
    <m/>
    <s v="119278"/>
    <n v="119"/>
    <s v="999999"/>
    <m/>
    <s v="OPB SERVICIOS INTEGRALES SPA"/>
    <s v="L9363710"/>
    <s v="119278"/>
    <m/>
    <m/>
    <m/>
    <s v="5.5"/>
    <n v="475"/>
    <s v="CENTROAMERICA"/>
    <s v="ALMAHUE TRADICIONAL"/>
    <s v="AGRICOLA Y PACKING CACHAPOAL S.A"/>
    <s v="CMA CGM"/>
    <s v="SNG0504153"/>
    <s v="SNG0504153"/>
    <n v="46167"/>
    <m/>
    <s v="OPB SERVICIOS INTEGRALES SPA"/>
    <n v="46164"/>
    <d v="2026-05-29T00:00:00"/>
    <d v="2026-06-04T00:00:00"/>
    <x v="2"/>
  </r>
  <r>
    <s v="2025-2026"/>
    <n v="20438"/>
    <x v="2"/>
    <x v="2"/>
    <n v="22"/>
    <n v="5"/>
    <d v="2026-06-04T00:00:00"/>
    <s v="SAG"/>
    <s v="ALMAHUE EXPORT SPA"/>
    <s v="SEEDPLC"/>
    <n v="55"/>
    <s v="SEEDPLC CIA. LTDA."/>
    <n v="342"/>
    <s v="18.568.294-3"/>
    <s v="PABLO OTAIZA"/>
    <s v="SSBS90"/>
    <m/>
    <s v="L9363710"/>
    <m/>
    <s v="120030978"/>
    <s v="120030978"/>
    <s v="119278"/>
    <s v="NARANJAS"/>
    <s v="OC15G02"/>
    <s v="GRANEL"/>
    <n v="15"/>
    <s v="CAT-1"/>
    <s v="CAT-1"/>
    <s v="EXPORTACION"/>
    <s v="40"/>
    <n v="80"/>
    <n v="1200"/>
    <n v="10"/>
    <m/>
    <m/>
    <m/>
    <s v="75"/>
    <m/>
    <s v="SAN ANTONIO"/>
    <s v="MARITIMO"/>
    <s v="POSORJA"/>
    <m/>
    <m/>
    <m/>
    <m/>
    <m/>
    <m/>
    <s v="ISTANBUL EXPRESS"/>
    <s v="CGMU5098150"/>
    <m/>
    <s v="ECUADOR          "/>
    <d v="2026-05-29T00:00:00"/>
    <s v="15.0"/>
    <n v="445"/>
    <m/>
    <m/>
    <m/>
    <s v="119278"/>
    <n v="119"/>
    <s v="999999"/>
    <m/>
    <s v="OPB SERVICIOS INTEGRALES SPA"/>
    <s v="L9363710"/>
    <s v="119278"/>
    <m/>
    <m/>
    <m/>
    <s v="5.5"/>
    <n v="475"/>
    <s v="CENTROAMERICA"/>
    <s v="ALMAHUE TRADICIONAL"/>
    <s v="AGRICOLA Y PACKING CACHAPOAL S.A"/>
    <s v="CMA CGM"/>
    <s v="SNG0504153"/>
    <s v="SNG0504153"/>
    <n v="46167"/>
    <m/>
    <s v="OPB SERVICIOS INTEGRALES SPA"/>
    <n v="46164"/>
    <d v="2026-05-29T00:00:00"/>
    <d v="2026-06-04T00:00:00"/>
    <x v="2"/>
  </r>
  <r>
    <s v="2025-2026"/>
    <n v="20439"/>
    <x v="2"/>
    <x v="2"/>
    <n v="22"/>
    <n v="5"/>
    <d v="2026-06-04T00:00:00"/>
    <s v="SAG"/>
    <s v="ALMAHUE EXPORT SPA"/>
    <s v="SEEDPLC"/>
    <n v="55"/>
    <s v="SEEDPLC CIA. LTDA."/>
    <n v="342"/>
    <s v="18.568.294-3"/>
    <s v="PABLO OTAIZA"/>
    <s v="SSBS90"/>
    <m/>
    <s v="L9363710"/>
    <m/>
    <s v="120030979"/>
    <s v="120030979"/>
    <s v="119278"/>
    <s v="NARANJAS"/>
    <s v="OC15G02"/>
    <s v="GRANEL"/>
    <n v="15"/>
    <s v="CAT-1"/>
    <s v="CAT-1"/>
    <s v="EXPORTACION"/>
    <s v="50"/>
    <n v="80"/>
    <n v="1200"/>
    <n v="10"/>
    <m/>
    <m/>
    <m/>
    <s v="75"/>
    <m/>
    <s v="SAN ANTONIO"/>
    <s v="MARITIMO"/>
    <s v="POSORJA"/>
    <m/>
    <m/>
    <m/>
    <m/>
    <m/>
    <m/>
    <s v="ISTANBUL EXPRESS"/>
    <s v="CGMU5098150"/>
    <m/>
    <s v="ECUADOR          "/>
    <d v="2026-05-29T00:00:00"/>
    <s v="15.0"/>
    <n v="445"/>
    <m/>
    <m/>
    <m/>
    <s v="119278"/>
    <n v="119"/>
    <s v="999999"/>
    <m/>
    <s v="OPB SERVICIOS INTEGRALES SPA"/>
    <s v="L9363710"/>
    <s v="119278"/>
    <m/>
    <m/>
    <m/>
    <s v="5.5"/>
    <n v="475"/>
    <s v="CENTROAMERICA"/>
    <s v="ALMAHUE TRADICIONAL"/>
    <s v="AGRICOLA Y PACKING CACHAPOAL S.A"/>
    <s v="CMA CGM"/>
    <s v="SNG0504153"/>
    <s v="SNG0504153"/>
    <n v="46167"/>
    <m/>
    <s v="OPB SERVICIOS INTEGRALES SPA"/>
    <n v="46164"/>
    <d v="2026-05-29T00:00:00"/>
    <d v="2026-06-04T00:00:00"/>
    <x v="2"/>
  </r>
  <r>
    <s v="2025-2026"/>
    <n v="20440"/>
    <x v="2"/>
    <x v="2"/>
    <n v="22"/>
    <n v="5"/>
    <d v="2026-06-04T00:00:00"/>
    <s v="SAG"/>
    <s v="ALMAHUE EXPORT SPA"/>
    <s v="SEEDPLC"/>
    <n v="55"/>
    <s v="SEEDPLC CIA. LTDA."/>
    <n v="342"/>
    <s v="18.568.294-3"/>
    <s v="PABLO OTAIZA"/>
    <s v="SSBS90"/>
    <m/>
    <s v="L9363710"/>
    <m/>
    <s v="120030987"/>
    <s v="120030987"/>
    <s v="119278"/>
    <s v="NARANJAS"/>
    <s v="OC15G02"/>
    <s v="GRANEL"/>
    <n v="15"/>
    <s v="CAT-1"/>
    <s v="CAT-1"/>
    <s v="EXPORTACION"/>
    <s v="50"/>
    <n v="80"/>
    <n v="1200"/>
    <n v="10"/>
    <m/>
    <m/>
    <m/>
    <s v="75"/>
    <m/>
    <s v="SAN ANTONIO"/>
    <s v="MARITIMO"/>
    <s v="POSORJA"/>
    <m/>
    <m/>
    <m/>
    <m/>
    <m/>
    <m/>
    <s v="ISTANBUL EXPRESS"/>
    <s v="CGMU5098150"/>
    <m/>
    <s v="ECUADOR          "/>
    <d v="2026-05-29T00:00:00"/>
    <s v="15.0"/>
    <n v="445"/>
    <m/>
    <m/>
    <m/>
    <s v="119278"/>
    <n v="119"/>
    <s v="999999"/>
    <m/>
    <s v="OPB SERVICIOS INTEGRALES SPA"/>
    <s v="L9363710"/>
    <s v="119278"/>
    <m/>
    <m/>
    <m/>
    <s v="5.5"/>
    <n v="475"/>
    <s v="CENTROAMERICA"/>
    <s v="ALMAHUE TRADICIONAL"/>
    <s v="AGRICOLA Y PACKING CACHAPOAL S.A"/>
    <s v="CMA CGM"/>
    <s v="SNG0504153"/>
    <s v="SNG0504153"/>
    <n v="46167"/>
    <m/>
    <s v="OPB SERVICIOS INTEGRALES SPA"/>
    <n v="46164"/>
    <d v="2026-05-29T00:00:00"/>
    <d v="2026-06-04T00:00:00"/>
    <x v="2"/>
  </r>
  <r>
    <s v="2025-2026"/>
    <n v="20441"/>
    <x v="2"/>
    <x v="2"/>
    <n v="22"/>
    <n v="5"/>
    <d v="2026-06-04T00:00:00"/>
    <s v="SAG"/>
    <s v="ALMAHUE EXPORT SPA"/>
    <s v="SEEDPLC"/>
    <n v="55"/>
    <s v="SEEDPLC CIA. LTDA."/>
    <n v="342"/>
    <s v="18.568.294-3"/>
    <s v="PABLO OTAIZA"/>
    <s v="SSBS90"/>
    <m/>
    <s v="L9363710"/>
    <m/>
    <s v="120030991"/>
    <s v="120030991"/>
    <s v="119278"/>
    <s v="NARANJAS"/>
    <s v="OC15G02"/>
    <s v="GRANEL"/>
    <n v="15"/>
    <s v="CAT-1"/>
    <s v="CAT-1"/>
    <s v="EXPORTACION"/>
    <s v="50"/>
    <n v="80"/>
    <n v="1200"/>
    <n v="10"/>
    <m/>
    <m/>
    <m/>
    <s v="75"/>
    <m/>
    <s v="SAN ANTONIO"/>
    <s v="MARITIMO"/>
    <s v="POSORJA"/>
    <m/>
    <m/>
    <m/>
    <m/>
    <m/>
    <m/>
    <s v="ISTANBUL EXPRESS"/>
    <s v="CGMU5098150"/>
    <m/>
    <s v="ECUADOR          "/>
    <d v="2026-05-29T00:00:00"/>
    <s v="15.0"/>
    <n v="445"/>
    <m/>
    <m/>
    <m/>
    <s v="119278"/>
    <n v="119"/>
    <s v="999999"/>
    <m/>
    <s v="OPB SERVICIOS INTEGRALES SPA"/>
    <s v="L9363710"/>
    <s v="119278"/>
    <m/>
    <m/>
    <m/>
    <s v="5.5"/>
    <n v="475"/>
    <s v="CENTROAMERICA"/>
    <s v="ALMAHUE TRADICIONAL"/>
    <s v="AGRICOLA Y PACKING CACHAPOAL S.A"/>
    <s v="CMA CGM"/>
    <s v="SNG0504153"/>
    <s v="SNG0504153"/>
    <n v="46167"/>
    <m/>
    <s v="OPB SERVICIOS INTEGRALES SPA"/>
    <n v="46164"/>
    <d v="2026-05-29T00:00:00"/>
    <d v="2026-06-04T00:00:00"/>
    <x v="2"/>
  </r>
  <r>
    <s v="2025-2026"/>
    <n v="20514"/>
    <x v="3"/>
    <x v="3"/>
    <n v="22"/>
    <n v="5"/>
    <d v="2026-06-16T00:00:00"/>
    <s v="SAG"/>
    <s v="ALMAHUE EXPORT SPA"/>
    <s v="OPPY"/>
    <n v="19"/>
    <s v="DAVID OPPENHEIMER AND COMPANY I, LLC."/>
    <n v="173"/>
    <s v="14.622.235-8"/>
    <s v="JONATHAN SALINAS"/>
    <s v="JTHB87"/>
    <s v="PXDH84"/>
    <s v="LAB370929"/>
    <m/>
    <s v="Z120028178"/>
    <s v="Z120028178"/>
    <s v="119278"/>
    <s v="NARANJAS"/>
    <s v="OC15G02"/>
    <s v="GRANEL"/>
    <n v="15"/>
    <s v="CAT-1"/>
    <s v="CAT-1"/>
    <s v="EXPORTACION"/>
    <s v="110"/>
    <n v="80"/>
    <n v="1200"/>
    <n v="10"/>
    <m/>
    <m/>
    <m/>
    <s v="13577"/>
    <m/>
    <s v="SAN ANTONIO"/>
    <s v="MARITIMO"/>
    <s v="PHILADELPHIA"/>
    <m/>
    <m/>
    <m/>
    <m/>
    <m/>
    <m/>
    <s v="CMA CGM BEIRA"/>
    <s v="TTNU8020995"/>
    <m/>
    <s v="USA      "/>
    <d v="2026-05-29T00:00:00"/>
    <s v="15.0"/>
    <n v="448"/>
    <m/>
    <m/>
    <m/>
    <s v="119278"/>
    <n v="19"/>
    <s v="91406"/>
    <m/>
    <s v="OPB SERVICIOS INTEGRALES SPA"/>
    <s v="LAB370929"/>
    <s v="119278"/>
    <m/>
    <m/>
    <m/>
    <s v="5.5"/>
    <n v="478"/>
    <s v="NORTEAMERICA"/>
    <s v="ALMAHUE TRADICIONAL"/>
    <s v="CHAMONATE SPA"/>
    <s v="ONE"/>
    <s v="SCLG12879700"/>
    <s v="ONEYSCLG12879700"/>
    <n v="46169"/>
    <m/>
    <s v="OPB SERVICIOS INTEGRALES SPA"/>
    <n v="46168"/>
    <d v="2026-05-29T00:00:00"/>
    <d v="2026-06-16T00:00:00"/>
    <x v="3"/>
  </r>
  <r>
    <s v="2025-2026"/>
    <n v="20515"/>
    <x v="3"/>
    <x v="3"/>
    <n v="22"/>
    <n v="5"/>
    <d v="2026-06-16T00:00:00"/>
    <s v="SAG"/>
    <s v="ALMAHUE EXPORT SPA"/>
    <s v="OPPY"/>
    <n v="19"/>
    <s v="DAVID OPPENHEIMER AND COMPANY I, LLC."/>
    <n v="173"/>
    <s v="14.622.235-8"/>
    <s v="JONATHAN SALINAS"/>
    <s v="JTHB87"/>
    <s v="PXDH84"/>
    <s v="LAB370929"/>
    <m/>
    <s v="Z120028180"/>
    <s v="Z120028180"/>
    <s v="119278"/>
    <s v="NARANJAS"/>
    <s v="OC15G02"/>
    <s v="GRANEL"/>
    <n v="15"/>
    <s v="CAT-1"/>
    <s v="CAT-1"/>
    <s v="EXPORTACION"/>
    <s v="80"/>
    <n v="80"/>
    <n v="1200"/>
    <n v="10"/>
    <m/>
    <m/>
    <m/>
    <s v="13577"/>
    <m/>
    <s v="SAN ANTONIO"/>
    <s v="MARITIMO"/>
    <s v="PHILADELPHIA"/>
    <m/>
    <m/>
    <m/>
    <m/>
    <m/>
    <m/>
    <s v="CMA CGM BEIRA"/>
    <s v="TTNU8020995"/>
    <m/>
    <s v="USA      "/>
    <d v="2026-05-29T00:00:00"/>
    <s v="15.0"/>
    <n v="448"/>
    <m/>
    <m/>
    <m/>
    <s v="119278"/>
    <n v="19"/>
    <s v="91406"/>
    <m/>
    <s v="OPB SERVICIOS INTEGRALES SPA"/>
    <s v="LAB370929"/>
    <s v="119278"/>
    <m/>
    <m/>
    <m/>
    <s v="5.5"/>
    <n v="478"/>
    <s v="NORTEAMERICA"/>
    <s v="ALMAHUE TRADICIONAL"/>
    <s v="CHAMONATE SPA"/>
    <s v="ONE"/>
    <s v="SCLG12879700"/>
    <s v="ONEYSCLG12879700"/>
    <n v="46169"/>
    <m/>
    <s v="OPB SERVICIOS INTEGRALES SPA"/>
    <n v="46168"/>
    <d v="2026-05-29T00:00:00"/>
    <d v="2026-06-16T00:00:00"/>
    <x v="3"/>
  </r>
  <r>
    <s v="2025-2026"/>
    <n v="20516"/>
    <x v="3"/>
    <x v="3"/>
    <n v="22"/>
    <n v="5"/>
    <d v="2026-06-16T00:00:00"/>
    <s v="SAG"/>
    <s v="ALMAHUE EXPORT SPA"/>
    <s v="OPPY"/>
    <n v="19"/>
    <s v="DAVID OPPENHEIMER AND COMPANY I, LLC."/>
    <n v="173"/>
    <s v="14.622.235-8"/>
    <s v="JONATHAN SALINAS"/>
    <s v="JTHB87"/>
    <s v="PXDH84"/>
    <s v="LAB370929"/>
    <m/>
    <s v="Z120028186"/>
    <s v="Z120028186"/>
    <s v="119278"/>
    <s v="NARANJAS"/>
    <s v="OC15G02"/>
    <s v="GRANEL"/>
    <n v="15"/>
    <s v="CAT-1"/>
    <s v="CAT-1"/>
    <s v="EXPORTACION"/>
    <s v="80"/>
    <n v="80"/>
    <n v="1200"/>
    <n v="10"/>
    <m/>
    <m/>
    <m/>
    <s v="13577"/>
    <m/>
    <s v="SAN ANTONIO"/>
    <s v="MARITIMO"/>
    <s v="PHILADELPHIA"/>
    <m/>
    <m/>
    <m/>
    <m/>
    <m/>
    <m/>
    <s v="CMA CGM BEIRA"/>
    <s v="TTNU8020995"/>
    <m/>
    <s v="USA      "/>
    <d v="2026-05-29T00:00:00"/>
    <s v="15.0"/>
    <n v="448"/>
    <m/>
    <m/>
    <m/>
    <s v="119278"/>
    <n v="19"/>
    <s v="91406"/>
    <m/>
    <s v="OPB SERVICIOS INTEGRALES SPA"/>
    <s v="LAB370929"/>
    <s v="119278"/>
    <m/>
    <m/>
    <m/>
    <s v="5.5"/>
    <n v="478"/>
    <s v="NORTEAMERICA"/>
    <s v="ALMAHUE TRADICIONAL"/>
    <s v="CHAMONATE SPA"/>
    <s v="ONE"/>
    <s v="SCLG12879700"/>
    <s v="ONEYSCLG12879700"/>
    <n v="46169"/>
    <m/>
    <s v="OPB SERVICIOS INTEGRALES SPA"/>
    <n v="46168"/>
    <d v="2026-05-29T00:00:00"/>
    <d v="2026-06-16T00:00:00"/>
    <x v="3"/>
  </r>
  <r>
    <s v="2025-2026"/>
    <n v="20517"/>
    <x v="3"/>
    <x v="3"/>
    <n v="22"/>
    <n v="5"/>
    <d v="2026-06-16T00:00:00"/>
    <s v="SAG"/>
    <s v="ALMAHUE EXPORT SPA"/>
    <s v="OPPY"/>
    <n v="19"/>
    <s v="DAVID OPPENHEIMER AND COMPANY I, LLC."/>
    <n v="173"/>
    <s v="14.622.235-8"/>
    <s v="JONATHAN SALINAS"/>
    <s v="JTHB87"/>
    <s v="PXDH84"/>
    <s v="LAB370929"/>
    <m/>
    <s v="Z120028193"/>
    <s v="Z120028193"/>
    <s v="119278"/>
    <s v="NARANJAS"/>
    <s v="OC15G02"/>
    <s v="GRANEL"/>
    <n v="15"/>
    <s v="CAT-1"/>
    <s v="CAT-1"/>
    <s v="EXPORTACION"/>
    <s v="80"/>
    <n v="80"/>
    <n v="1200"/>
    <n v="10"/>
    <m/>
    <m/>
    <m/>
    <s v="13577"/>
    <m/>
    <s v="SAN ANTONIO"/>
    <s v="MARITIMO"/>
    <s v="PHILADELPHIA"/>
    <m/>
    <m/>
    <m/>
    <m/>
    <m/>
    <m/>
    <s v="CMA CGM BEIRA"/>
    <s v="TTNU8020995"/>
    <m/>
    <s v="USA      "/>
    <d v="2026-05-29T00:00:00"/>
    <s v="15.0"/>
    <n v="448"/>
    <m/>
    <m/>
    <m/>
    <s v="119278"/>
    <n v="19"/>
    <s v="91406"/>
    <m/>
    <s v="OPB SERVICIOS INTEGRALES SPA"/>
    <s v="LAB370929"/>
    <s v="119278"/>
    <m/>
    <m/>
    <m/>
    <s v="5.5"/>
    <n v="478"/>
    <s v="NORTEAMERICA"/>
    <s v="ALMAHUE TRADICIONAL"/>
    <s v="CHAMONATE SPA"/>
    <s v="ONE"/>
    <s v="SCLG12879700"/>
    <s v="ONEYSCLG12879700"/>
    <n v="46169"/>
    <m/>
    <s v="OPB SERVICIOS INTEGRALES SPA"/>
    <n v="46168"/>
    <d v="2026-05-29T00:00:00"/>
    <d v="2026-06-16T00:00:00"/>
    <x v="3"/>
  </r>
  <r>
    <s v="2025-2026"/>
    <n v="20518"/>
    <x v="3"/>
    <x v="3"/>
    <n v="22"/>
    <n v="5"/>
    <d v="2026-06-16T00:00:00"/>
    <s v="SAG"/>
    <s v="ALMAHUE EXPORT SPA"/>
    <s v="OPPY"/>
    <n v="19"/>
    <s v="DAVID OPPENHEIMER AND COMPANY I, LLC."/>
    <n v="173"/>
    <s v="14.622.235-8"/>
    <s v="JONATHAN SALINAS"/>
    <s v="JTHB87"/>
    <s v="PXDH84"/>
    <s v="LAB370929"/>
    <m/>
    <s v="Z120028195"/>
    <s v="Z120028195"/>
    <s v="119278"/>
    <s v="NARANJAS"/>
    <s v="OC15G02"/>
    <s v="GRANEL"/>
    <n v="15"/>
    <s v="CAT-1"/>
    <s v="CAT-1"/>
    <s v="EXPORTACION"/>
    <s v="100"/>
    <n v="17"/>
    <n v="255"/>
    <n v="10"/>
    <m/>
    <m/>
    <m/>
    <s v="13577"/>
    <m/>
    <s v="SAN ANTONIO"/>
    <s v="MARITIMO"/>
    <s v="PHILADELPHIA"/>
    <m/>
    <m/>
    <m/>
    <m/>
    <m/>
    <m/>
    <s v="CMA CGM BEIRA"/>
    <s v="TTNU8020995"/>
    <m/>
    <s v="USA      "/>
    <d v="2026-05-29T00:00:00"/>
    <s v="15.0"/>
    <n v="448"/>
    <m/>
    <m/>
    <m/>
    <s v="119278"/>
    <n v="19"/>
    <s v="91406"/>
    <m/>
    <s v="OPB SERVICIOS INTEGRALES SPA"/>
    <s v="LAB370929"/>
    <s v="119278"/>
    <m/>
    <m/>
    <m/>
    <s v="5.5"/>
    <n v="478"/>
    <s v="NORTEAMERICA"/>
    <s v="ALMAHUE TRADICIONAL"/>
    <s v="CHAMONATE SPA"/>
    <s v="ONE"/>
    <s v="SCLG12879700"/>
    <s v="ONEYSCLG12879700"/>
    <n v="46169"/>
    <m/>
    <s v="OPB SERVICIOS INTEGRALES SPA"/>
    <n v="46168"/>
    <d v="2026-05-29T00:00:00"/>
    <d v="2026-06-16T00:00:00"/>
    <x v="3"/>
  </r>
  <r>
    <s v="2025-2026"/>
    <n v="20519"/>
    <x v="3"/>
    <x v="3"/>
    <n v="22"/>
    <n v="5"/>
    <d v="2026-06-16T00:00:00"/>
    <s v="SAG"/>
    <s v="ALMAHUE EXPORT SPA"/>
    <s v="OPPY"/>
    <n v="19"/>
    <s v="DAVID OPPENHEIMER AND COMPANY I, LLC."/>
    <n v="173"/>
    <s v="14.622.235-8"/>
    <s v="JONATHAN SALINAS"/>
    <s v="JTHB87"/>
    <s v="PXDH84"/>
    <s v="LAB370929"/>
    <m/>
    <s v="Z120028195"/>
    <s v="Z120028195"/>
    <s v="119278"/>
    <s v="NARANJAS"/>
    <s v="OC15G02"/>
    <s v="GRANEL"/>
    <n v="15"/>
    <s v="CAT-1"/>
    <s v="CAT-1"/>
    <s v="EXPORTACION"/>
    <s v="100"/>
    <n v="63"/>
    <n v="945"/>
    <n v="10"/>
    <m/>
    <m/>
    <m/>
    <s v="13577"/>
    <m/>
    <s v="SAN ANTONIO"/>
    <s v="MARITIMO"/>
    <s v="PHILADELPHIA"/>
    <m/>
    <m/>
    <m/>
    <m/>
    <m/>
    <m/>
    <s v="CMA CGM BEIRA"/>
    <s v="TTNU8020995"/>
    <m/>
    <s v="USA      "/>
    <d v="2026-05-29T00:00:00"/>
    <s v="15.0"/>
    <n v="448"/>
    <m/>
    <m/>
    <m/>
    <s v="119278"/>
    <n v="19"/>
    <s v="91406"/>
    <m/>
    <s v="OPB SERVICIOS INTEGRALES SPA"/>
    <s v="LAB370929"/>
    <s v="119278"/>
    <m/>
    <m/>
    <m/>
    <s v="5.5"/>
    <n v="478"/>
    <s v="NORTEAMERICA"/>
    <s v="ALMAHUE TRADICIONAL"/>
    <s v="CHAMONATE SPA"/>
    <s v="ONE"/>
    <s v="SCLG12879700"/>
    <s v="ONEYSCLG12879700"/>
    <n v="46169"/>
    <m/>
    <s v="OPB SERVICIOS INTEGRALES SPA"/>
    <n v="46168"/>
    <d v="2026-05-29T00:00:00"/>
    <d v="2026-06-16T00:00:00"/>
    <x v="3"/>
  </r>
  <r>
    <s v="2025-2026"/>
    <n v="20520"/>
    <x v="3"/>
    <x v="3"/>
    <n v="22"/>
    <n v="5"/>
    <d v="2026-06-16T00:00:00"/>
    <s v="SAG"/>
    <s v="ALMAHUE EXPORT SPA"/>
    <s v="OPPY"/>
    <n v="19"/>
    <s v="DAVID OPPENHEIMER AND COMPANY I, LLC."/>
    <n v="173"/>
    <s v="14.622.235-8"/>
    <s v="JONATHAN SALINAS"/>
    <s v="JTHB87"/>
    <s v="PXDH84"/>
    <s v="LAB370929"/>
    <m/>
    <s v="Z120028198"/>
    <s v="Z120028198"/>
    <s v="119278"/>
    <s v="NARANJAS"/>
    <s v="OC15G02"/>
    <s v="GRANEL"/>
    <n v="15"/>
    <s v="CAT-1"/>
    <s v="CAT-1"/>
    <s v="EXPORTACION"/>
    <s v="70"/>
    <n v="80"/>
    <n v="1200"/>
    <n v="10"/>
    <m/>
    <m/>
    <m/>
    <s v="13577"/>
    <m/>
    <s v="SAN ANTONIO"/>
    <s v="MARITIMO"/>
    <s v="PHILADELPHIA"/>
    <m/>
    <m/>
    <m/>
    <m/>
    <m/>
    <m/>
    <s v="CMA CGM BEIRA"/>
    <s v="TTNU8020995"/>
    <m/>
    <s v="USA      "/>
    <d v="2026-05-29T00:00:00"/>
    <s v="15.0"/>
    <n v="448"/>
    <m/>
    <m/>
    <m/>
    <s v="119278"/>
    <n v="19"/>
    <s v="91406"/>
    <m/>
    <s v="OPB SERVICIOS INTEGRALES SPA"/>
    <s v="LAB370929"/>
    <s v="119278"/>
    <m/>
    <m/>
    <m/>
    <s v="5.5"/>
    <n v="478"/>
    <s v="NORTEAMERICA"/>
    <s v="ALMAHUE TRADICIONAL"/>
    <s v="CHAMONATE SPA"/>
    <s v="ONE"/>
    <s v="SCLG12879700"/>
    <s v="ONEYSCLG12879700"/>
    <n v="46169"/>
    <m/>
    <s v="OPB SERVICIOS INTEGRALES SPA"/>
    <n v="46168"/>
    <d v="2026-05-29T00:00:00"/>
    <d v="2026-06-16T00:00:00"/>
    <x v="3"/>
  </r>
  <r>
    <s v="2025-2026"/>
    <n v="20521"/>
    <x v="3"/>
    <x v="3"/>
    <n v="22"/>
    <n v="5"/>
    <d v="2026-06-16T00:00:00"/>
    <s v="SAG"/>
    <s v="ALMAHUE EXPORT SPA"/>
    <s v="OPPY"/>
    <n v="19"/>
    <s v="DAVID OPPENHEIMER AND COMPANY I, LLC."/>
    <n v="173"/>
    <s v="14.622.235-8"/>
    <s v="JONATHAN SALINAS"/>
    <s v="JTHB87"/>
    <s v="PXDH84"/>
    <s v="LAB370929"/>
    <m/>
    <s v="Z120030906"/>
    <s v="Z120030906"/>
    <s v="119278"/>
    <s v="NARANJAS"/>
    <s v="OC15G02"/>
    <s v="GRANEL"/>
    <n v="15"/>
    <s v="CAT-1"/>
    <s v="CAT-1"/>
    <s v="EXPORTACION"/>
    <s v="80"/>
    <n v="80"/>
    <n v="1200"/>
    <n v="10"/>
    <m/>
    <m/>
    <m/>
    <s v="13577"/>
    <m/>
    <s v="SAN ANTONIO"/>
    <s v="MARITIMO"/>
    <s v="PHILADELPHIA"/>
    <m/>
    <m/>
    <m/>
    <m/>
    <m/>
    <m/>
    <s v="CMA CGM BEIRA"/>
    <s v="TTNU8020995"/>
    <m/>
    <s v="USA      "/>
    <d v="2026-05-29T00:00:00"/>
    <s v="15.0"/>
    <n v="448"/>
    <m/>
    <m/>
    <m/>
    <s v="119278"/>
    <n v="19"/>
    <s v="91406"/>
    <m/>
    <s v="OPB SERVICIOS INTEGRALES SPA"/>
    <s v="LAB370929"/>
    <s v="119278"/>
    <m/>
    <m/>
    <m/>
    <s v="5.5"/>
    <n v="478"/>
    <s v="NORTEAMERICA"/>
    <s v="ALMAHUE TRADICIONAL"/>
    <s v="CHAMONATE SPA"/>
    <s v="ONE"/>
    <s v="SCLG12879700"/>
    <s v="ONEYSCLG12879700"/>
    <n v="46169"/>
    <m/>
    <s v="OPB SERVICIOS INTEGRALES SPA"/>
    <n v="46168"/>
    <d v="2026-05-29T00:00:00"/>
    <d v="2026-06-16T00:00:00"/>
    <x v="3"/>
  </r>
  <r>
    <s v="2025-2026"/>
    <n v="20522"/>
    <x v="3"/>
    <x v="3"/>
    <n v="22"/>
    <n v="5"/>
    <d v="2026-06-16T00:00:00"/>
    <s v="SAG"/>
    <s v="ALMAHUE EXPORT SPA"/>
    <s v="OPPY"/>
    <n v="19"/>
    <s v="DAVID OPPENHEIMER AND COMPANY I, LLC."/>
    <n v="173"/>
    <s v="14.622.235-8"/>
    <s v="JONATHAN SALINAS"/>
    <s v="JTHB87"/>
    <s v="PXDH84"/>
    <s v="LAB370929"/>
    <m/>
    <s v="Z120030912"/>
    <s v="Z120030912"/>
    <s v="119278"/>
    <s v="NARANJAS"/>
    <s v="OC15G02"/>
    <s v="GRANEL"/>
    <n v="15"/>
    <s v="CAT-1"/>
    <s v="CAT-1"/>
    <s v="EXPORTACION"/>
    <s v="110"/>
    <n v="73"/>
    <n v="1095"/>
    <n v="10"/>
    <m/>
    <m/>
    <m/>
    <s v="13577"/>
    <m/>
    <s v="SAN ANTONIO"/>
    <s v="MARITIMO"/>
    <s v="PHILADELPHIA"/>
    <m/>
    <m/>
    <m/>
    <m/>
    <m/>
    <m/>
    <s v="CMA CGM BEIRA"/>
    <s v="TTNU8020995"/>
    <m/>
    <s v="USA      "/>
    <d v="2026-05-29T00:00:00"/>
    <s v="15.0"/>
    <n v="448"/>
    <m/>
    <m/>
    <m/>
    <s v="119278"/>
    <n v="19"/>
    <s v="91406"/>
    <m/>
    <s v="OPB SERVICIOS INTEGRALES SPA"/>
    <s v="LAB370929"/>
    <s v="119278"/>
    <m/>
    <m/>
    <m/>
    <s v="5.5"/>
    <n v="478"/>
    <s v="NORTEAMERICA"/>
    <s v="ALMAHUE TRADICIONAL"/>
    <s v="CHAMONATE SPA"/>
    <s v="ONE"/>
    <s v="SCLG12879700"/>
    <s v="ONEYSCLG12879700"/>
    <n v="46169"/>
    <m/>
    <s v="OPB SERVICIOS INTEGRALES SPA"/>
    <n v="46168"/>
    <d v="2026-05-29T00:00:00"/>
    <d v="2026-06-16T00:00:00"/>
    <x v="3"/>
  </r>
  <r>
    <s v="2025-2026"/>
    <n v="20523"/>
    <x v="3"/>
    <x v="3"/>
    <n v="22"/>
    <n v="5"/>
    <d v="2026-06-16T00:00:00"/>
    <s v="SAG"/>
    <s v="ALMAHUE EXPORT SPA"/>
    <s v="OPPY"/>
    <n v="19"/>
    <s v="DAVID OPPENHEIMER AND COMPANY I, LLC."/>
    <n v="173"/>
    <s v="14.622.235-8"/>
    <s v="JONATHAN SALINAS"/>
    <s v="JTHB87"/>
    <s v="PXDH84"/>
    <s v="LAB370929"/>
    <m/>
    <s v="Z120030912"/>
    <s v="Z120030912"/>
    <s v="119278"/>
    <s v="NARANJAS"/>
    <s v="OC15G02"/>
    <s v="GRANEL"/>
    <n v="15"/>
    <s v="CAT-1"/>
    <s v="CAT-1"/>
    <s v="EXPORTACION"/>
    <s v="110"/>
    <n v="7"/>
    <n v="105"/>
    <n v="10"/>
    <m/>
    <m/>
    <m/>
    <s v="13577"/>
    <m/>
    <s v="SAN ANTONIO"/>
    <s v="MARITIMO"/>
    <s v="PHILADELPHIA"/>
    <m/>
    <m/>
    <m/>
    <m/>
    <m/>
    <m/>
    <s v="CMA CGM BEIRA"/>
    <s v="TTNU8020995"/>
    <m/>
    <s v="USA      "/>
    <d v="2026-05-29T00:00:00"/>
    <s v="15.0"/>
    <n v="448"/>
    <m/>
    <m/>
    <m/>
    <s v="119278"/>
    <n v="19"/>
    <s v="91406"/>
    <m/>
    <s v="OPB SERVICIOS INTEGRALES SPA"/>
    <s v="LAB370929"/>
    <s v="119278"/>
    <m/>
    <m/>
    <m/>
    <s v="5.5"/>
    <n v="478"/>
    <s v="NORTEAMERICA"/>
    <s v="ALMAHUE TRADICIONAL"/>
    <s v="CHAMONATE SPA"/>
    <s v="ONE"/>
    <s v="SCLG12879700"/>
    <s v="ONEYSCLG12879700"/>
    <n v="46169"/>
    <m/>
    <s v="OPB SERVICIOS INTEGRALES SPA"/>
    <n v="46168"/>
    <d v="2026-05-29T00:00:00"/>
    <d v="2026-06-16T00:00:00"/>
    <x v="3"/>
  </r>
  <r>
    <s v="2025-2026"/>
    <n v="20524"/>
    <x v="3"/>
    <x v="3"/>
    <n v="22"/>
    <n v="5"/>
    <d v="2026-06-16T00:00:00"/>
    <s v="SAG"/>
    <s v="ALMAHUE EXPORT SPA"/>
    <s v="OPPY"/>
    <n v="19"/>
    <s v="DAVID OPPENHEIMER AND COMPANY I, LLC."/>
    <n v="173"/>
    <s v="14.622.235-8"/>
    <s v="JONATHAN SALINAS"/>
    <s v="JTHB87"/>
    <s v="PXDH84"/>
    <s v="LAB370929"/>
    <m/>
    <s v="Z120030927"/>
    <s v="Z120030927"/>
    <s v="119278"/>
    <s v="NARANJAS"/>
    <s v="OC15G02"/>
    <s v="GRANEL"/>
    <n v="15"/>
    <s v="CAT-1"/>
    <s v="CAT-1"/>
    <s v="EXPORTACION"/>
    <s v="100"/>
    <n v="80"/>
    <n v="1200"/>
    <n v="10"/>
    <m/>
    <m/>
    <m/>
    <s v="13577"/>
    <m/>
    <s v="SAN ANTONIO"/>
    <s v="MARITIMO"/>
    <s v="PHILADELPHIA"/>
    <m/>
    <m/>
    <m/>
    <m/>
    <m/>
    <m/>
    <s v="CMA CGM BEIRA"/>
    <s v="TTNU8020995"/>
    <m/>
    <s v="USA      "/>
    <d v="2026-05-29T00:00:00"/>
    <s v="15.0"/>
    <n v="448"/>
    <m/>
    <m/>
    <m/>
    <s v="119278"/>
    <n v="19"/>
    <s v="91406"/>
    <m/>
    <s v="OPB SERVICIOS INTEGRALES SPA"/>
    <s v="LAB370929"/>
    <s v="119278"/>
    <m/>
    <m/>
    <m/>
    <s v="5.5"/>
    <n v="478"/>
    <s v="NORTEAMERICA"/>
    <s v="ALMAHUE TRADICIONAL"/>
    <s v="CHAMONATE SPA"/>
    <s v="ONE"/>
    <s v="SCLG12879700"/>
    <s v="ONEYSCLG12879700"/>
    <n v="46169"/>
    <m/>
    <s v="OPB SERVICIOS INTEGRALES SPA"/>
    <n v="46168"/>
    <d v="2026-05-29T00:00:00"/>
    <d v="2026-06-16T00:00:00"/>
    <x v="3"/>
  </r>
  <r>
    <s v="2025-2026"/>
    <n v="20525"/>
    <x v="3"/>
    <x v="3"/>
    <n v="22"/>
    <n v="5"/>
    <d v="2026-06-16T00:00:00"/>
    <s v="SAG"/>
    <s v="ALMAHUE EXPORT SPA"/>
    <s v="OPPY"/>
    <n v="19"/>
    <s v="DAVID OPPENHEIMER AND COMPANY I, LLC."/>
    <n v="173"/>
    <s v="14.622.235-8"/>
    <s v="JONATHAN SALINAS"/>
    <s v="JTHB87"/>
    <s v="PXDH84"/>
    <s v="LAB370929"/>
    <m/>
    <s v="Z120030933"/>
    <s v="Z120030933"/>
    <s v="119278"/>
    <s v="NARANJAS"/>
    <s v="OC15OT09"/>
    <s v="COSTCO"/>
    <n v="15"/>
    <s v="CAT-1"/>
    <s v="CAT-1"/>
    <s v="EXPORTACION"/>
    <s v="60"/>
    <n v="60"/>
    <n v="900"/>
    <n v="10"/>
    <m/>
    <m/>
    <m/>
    <s v="13577"/>
    <m/>
    <s v="SAN ANTONIO"/>
    <s v="MARITIMO"/>
    <s v="PHILADELPHIA"/>
    <m/>
    <m/>
    <m/>
    <m/>
    <m/>
    <m/>
    <s v="CMA CGM BEIRA"/>
    <s v="TTNU8020995"/>
    <m/>
    <s v="USA      "/>
    <d v="2026-05-29T00:00:00"/>
    <s v="15.0"/>
    <n v="448"/>
    <m/>
    <m/>
    <m/>
    <s v="119278"/>
    <n v="19"/>
    <s v="91406"/>
    <m/>
    <s v="OPB SERVICIOS INTEGRALES SPA"/>
    <s v="LAB370929"/>
    <s v="119278"/>
    <m/>
    <m/>
    <m/>
    <s v="5.5"/>
    <n v="478"/>
    <s v="NORTEAMERICA"/>
    <s v="OPEN TOP"/>
    <s v="CHAMONATE SPA"/>
    <s v="ONE"/>
    <s v="SCLG12879700"/>
    <s v="ONEYSCLG12879700"/>
    <n v="46169"/>
    <m/>
    <s v="OPB SERVICIOS INTEGRALES SPA"/>
    <n v="46168"/>
    <d v="2026-05-29T00:00:00"/>
    <d v="2026-06-16T00:00:00"/>
    <x v="3"/>
  </r>
  <r>
    <s v="2025-2026"/>
    <n v="20526"/>
    <x v="3"/>
    <x v="3"/>
    <n v="22"/>
    <n v="5"/>
    <d v="2026-06-16T00:00:00"/>
    <s v="SAG"/>
    <s v="ALMAHUE EXPORT SPA"/>
    <s v="OPPY"/>
    <n v="19"/>
    <s v="DAVID OPPENHEIMER AND COMPANY I, LLC."/>
    <n v="173"/>
    <s v="14.622.235-8"/>
    <s v="JONATHAN SALINAS"/>
    <s v="JTHB87"/>
    <s v="PXDH84"/>
    <s v="LAB370929"/>
    <m/>
    <s v="Z120030936"/>
    <s v="Z120030936"/>
    <s v="119278"/>
    <s v="NARANJAS"/>
    <s v="OC15OT09"/>
    <s v="COSTCO"/>
    <n v="15"/>
    <s v="CAT-1"/>
    <s v="CAT-1"/>
    <s v="EXPORTACION"/>
    <s v="70"/>
    <n v="60"/>
    <n v="900"/>
    <n v="10"/>
    <m/>
    <m/>
    <m/>
    <s v="13577"/>
    <m/>
    <s v="SAN ANTONIO"/>
    <s v="MARITIMO"/>
    <s v="PHILADELPHIA"/>
    <m/>
    <m/>
    <m/>
    <m/>
    <m/>
    <m/>
    <s v="CMA CGM BEIRA"/>
    <s v="TTNU8020995"/>
    <m/>
    <s v="USA      "/>
    <d v="2026-05-29T00:00:00"/>
    <s v="15.0"/>
    <n v="448"/>
    <m/>
    <m/>
    <m/>
    <s v="119278"/>
    <n v="19"/>
    <s v="91406"/>
    <m/>
    <s v="OPB SERVICIOS INTEGRALES SPA"/>
    <s v="LAB370929"/>
    <s v="119278"/>
    <m/>
    <m/>
    <m/>
    <s v="5.5"/>
    <n v="478"/>
    <s v="NORTEAMERICA"/>
    <s v="OPEN TOP"/>
    <s v="CHAMONATE SPA"/>
    <s v="ONE"/>
    <s v="SCLG12879700"/>
    <s v="ONEYSCLG12879700"/>
    <n v="46169"/>
    <m/>
    <s v="OPB SERVICIOS INTEGRALES SPA"/>
    <n v="46168"/>
    <d v="2026-05-29T00:00:00"/>
    <d v="2026-06-16T00:00:00"/>
    <x v="3"/>
  </r>
  <r>
    <s v="2025-2026"/>
    <n v="20527"/>
    <x v="3"/>
    <x v="3"/>
    <n v="22"/>
    <n v="5"/>
    <d v="2026-06-16T00:00:00"/>
    <s v="SAG"/>
    <s v="ALMAHUE EXPORT SPA"/>
    <s v="OPPY"/>
    <n v="19"/>
    <s v="DAVID OPPENHEIMER AND COMPANY I, LLC."/>
    <n v="173"/>
    <s v="14.622.235-8"/>
    <s v="JONATHAN SALINAS"/>
    <s v="JTHB87"/>
    <s v="PXDH84"/>
    <s v="LAB370929"/>
    <m/>
    <s v="Z120030943"/>
    <s v="Z120030943"/>
    <s v="119278"/>
    <s v="NARANJAS"/>
    <s v="OC15G02"/>
    <s v="GRANEL"/>
    <n v="15"/>
    <s v="CAT-1"/>
    <s v="CAT-1"/>
    <s v="EXPORTACION"/>
    <s v="110"/>
    <n v="77"/>
    <n v="1155"/>
    <n v="10"/>
    <m/>
    <m/>
    <m/>
    <s v="13577"/>
    <m/>
    <s v="SAN ANTONIO"/>
    <s v="MARITIMO"/>
    <s v="PHILADELPHIA"/>
    <m/>
    <m/>
    <m/>
    <m/>
    <m/>
    <m/>
    <s v="CMA CGM BEIRA"/>
    <s v="TTNU8020995"/>
    <m/>
    <s v="USA      "/>
    <d v="2026-05-29T00:00:00"/>
    <s v="15.0"/>
    <n v="448"/>
    <m/>
    <m/>
    <m/>
    <s v="119278"/>
    <n v="19"/>
    <s v="91406"/>
    <m/>
    <s v="OPB SERVICIOS INTEGRALES SPA"/>
    <s v="LAB370929"/>
    <s v="119278"/>
    <m/>
    <m/>
    <m/>
    <s v="5.5"/>
    <n v="478"/>
    <s v="NORTEAMERICA"/>
    <s v="ALMAHUE TRADICIONAL"/>
    <s v="CHAMONATE SPA"/>
    <s v="ONE"/>
    <s v="SCLG12879700"/>
    <s v="ONEYSCLG12879700"/>
    <n v="46169"/>
    <m/>
    <s v="OPB SERVICIOS INTEGRALES SPA"/>
    <n v="46168"/>
    <d v="2026-05-29T00:00:00"/>
    <d v="2026-06-16T00:00:00"/>
    <x v="3"/>
  </r>
  <r>
    <s v="2025-2026"/>
    <n v="20528"/>
    <x v="3"/>
    <x v="3"/>
    <n v="22"/>
    <n v="5"/>
    <d v="2026-06-16T00:00:00"/>
    <s v="SAG"/>
    <s v="ALMAHUE EXPORT SPA"/>
    <s v="OPPY"/>
    <n v="19"/>
    <s v="DAVID OPPENHEIMER AND COMPANY I, LLC."/>
    <n v="173"/>
    <s v="14.622.235-8"/>
    <s v="JONATHAN SALINAS"/>
    <s v="JTHB87"/>
    <s v="PXDH84"/>
    <s v="LAB370929"/>
    <m/>
    <s v="Z120030943"/>
    <s v="Z120030943"/>
    <s v="119278"/>
    <s v="NARANJAS"/>
    <s v="OC15G02"/>
    <s v="GRANEL"/>
    <n v="15"/>
    <s v="CAT-1"/>
    <s v="CAT-1"/>
    <s v="EXPORTACION"/>
    <s v="100"/>
    <n v="3"/>
    <n v="45"/>
    <n v="10"/>
    <m/>
    <m/>
    <m/>
    <s v="13577"/>
    <m/>
    <s v="SAN ANTONIO"/>
    <s v="MARITIMO"/>
    <s v="PHILADELPHIA"/>
    <m/>
    <m/>
    <m/>
    <m/>
    <m/>
    <m/>
    <s v="CMA CGM BEIRA"/>
    <s v="TTNU8020995"/>
    <m/>
    <s v="USA      "/>
    <d v="2026-05-29T00:00:00"/>
    <s v="15.0"/>
    <n v="448"/>
    <m/>
    <m/>
    <m/>
    <s v="119278"/>
    <n v="19"/>
    <s v="91406"/>
    <m/>
    <s v="OPB SERVICIOS INTEGRALES SPA"/>
    <s v="LAB370929"/>
    <s v="119278"/>
    <m/>
    <m/>
    <m/>
    <s v="5.5"/>
    <n v="478"/>
    <s v="NORTEAMERICA"/>
    <s v="ALMAHUE TRADICIONAL"/>
    <s v="CHAMONATE SPA"/>
    <s v="ONE"/>
    <s v="SCLG12879700"/>
    <s v="ONEYSCLG12879700"/>
    <n v="46169"/>
    <m/>
    <s v="OPB SERVICIOS INTEGRALES SPA"/>
    <n v="46168"/>
    <d v="2026-05-29T00:00:00"/>
    <d v="2026-06-16T00:00:00"/>
    <x v="3"/>
  </r>
  <r>
    <s v="2025-2026"/>
    <n v="20529"/>
    <x v="3"/>
    <x v="3"/>
    <n v="22"/>
    <n v="5"/>
    <d v="2026-06-16T00:00:00"/>
    <s v="SAG"/>
    <s v="ALMAHUE EXPORT SPA"/>
    <s v="OPPY"/>
    <n v="19"/>
    <s v="DAVID OPPENHEIMER AND COMPANY I, LLC."/>
    <n v="173"/>
    <s v="14.622.235-8"/>
    <s v="JONATHAN SALINAS"/>
    <s v="JTHB87"/>
    <s v="PXDH84"/>
    <s v="LAB370929"/>
    <m/>
    <s v="Z120030944"/>
    <s v="Z120030944"/>
    <s v="119278"/>
    <s v="NARANJAS"/>
    <s v="OC15G02"/>
    <s v="GRANEL"/>
    <n v="15"/>
    <s v="CAT-1"/>
    <s v="CAT-1"/>
    <s v="EXPORTACION"/>
    <s v="100"/>
    <n v="37"/>
    <n v="555"/>
    <n v="10"/>
    <m/>
    <m/>
    <m/>
    <s v="13577"/>
    <m/>
    <s v="SAN ANTONIO"/>
    <s v="MARITIMO"/>
    <s v="PHILADELPHIA"/>
    <m/>
    <m/>
    <m/>
    <m/>
    <m/>
    <m/>
    <s v="CMA CGM BEIRA"/>
    <s v="TTNU8020995"/>
    <m/>
    <s v="USA      "/>
    <d v="2026-05-29T00:00:00"/>
    <s v="15.0"/>
    <n v="448"/>
    <m/>
    <m/>
    <m/>
    <s v="119278"/>
    <n v="19"/>
    <s v="91406"/>
    <m/>
    <s v="OPB SERVICIOS INTEGRALES SPA"/>
    <s v="LAB370929"/>
    <s v="119278"/>
    <m/>
    <m/>
    <m/>
    <s v="5.5"/>
    <n v="478"/>
    <s v="NORTEAMERICA"/>
    <s v="ALMAHUE TRADICIONAL"/>
    <s v="CHAMONATE SPA"/>
    <s v="ONE"/>
    <s v="SCLG12879700"/>
    <s v="ONEYSCLG12879700"/>
    <n v="46169"/>
    <m/>
    <s v="OPB SERVICIOS INTEGRALES SPA"/>
    <n v="46168"/>
    <d v="2026-05-29T00:00:00"/>
    <d v="2026-06-16T00:00:00"/>
    <x v="3"/>
  </r>
  <r>
    <s v="2025-2026"/>
    <n v="20530"/>
    <x v="3"/>
    <x v="3"/>
    <n v="22"/>
    <n v="5"/>
    <d v="2026-06-16T00:00:00"/>
    <s v="SAG"/>
    <s v="ALMAHUE EXPORT SPA"/>
    <s v="OPPY"/>
    <n v="19"/>
    <s v="DAVID OPPENHEIMER AND COMPANY I, LLC."/>
    <n v="173"/>
    <s v="14.622.235-8"/>
    <s v="JONATHAN SALINAS"/>
    <s v="JTHB87"/>
    <s v="PXDH84"/>
    <s v="LAB370929"/>
    <m/>
    <s v="Z120030944"/>
    <s v="Z120030944"/>
    <s v="119278"/>
    <s v="NARANJAS"/>
    <s v="OC15G02"/>
    <s v="GRANEL"/>
    <n v="15"/>
    <s v="CAT-1"/>
    <s v="CAT-1"/>
    <s v="EXPORTACION"/>
    <s v="100"/>
    <n v="43"/>
    <n v="645"/>
    <n v="10"/>
    <m/>
    <m/>
    <m/>
    <s v="13577"/>
    <m/>
    <s v="SAN ANTONIO"/>
    <s v="MARITIMO"/>
    <s v="PHILADELPHIA"/>
    <m/>
    <m/>
    <m/>
    <m/>
    <m/>
    <m/>
    <s v="CMA CGM BEIRA"/>
    <s v="TTNU8020995"/>
    <m/>
    <s v="USA      "/>
    <d v="2026-05-29T00:00:00"/>
    <s v="15.0"/>
    <n v="448"/>
    <m/>
    <m/>
    <m/>
    <s v="119278"/>
    <n v="19"/>
    <s v="91406"/>
    <m/>
    <s v="OPB SERVICIOS INTEGRALES SPA"/>
    <s v="LAB370929"/>
    <s v="119278"/>
    <m/>
    <m/>
    <m/>
    <s v="5.5"/>
    <n v="478"/>
    <s v="NORTEAMERICA"/>
    <s v="ALMAHUE TRADICIONAL"/>
    <s v="CHAMONATE SPA"/>
    <s v="ONE"/>
    <s v="SCLG12879700"/>
    <s v="ONEYSCLG12879700"/>
    <n v="46169"/>
    <m/>
    <s v="OPB SERVICIOS INTEGRALES SPA"/>
    <n v="46168"/>
    <d v="2026-05-29T00:00:00"/>
    <d v="2026-06-16T00:00:00"/>
    <x v="3"/>
  </r>
  <r>
    <s v="2025-2026"/>
    <n v="20531"/>
    <x v="3"/>
    <x v="3"/>
    <n v="22"/>
    <n v="5"/>
    <d v="2026-06-16T00:00:00"/>
    <s v="SAG"/>
    <s v="ALMAHUE EXPORT SPA"/>
    <s v="OPPY"/>
    <n v="19"/>
    <s v="DAVID OPPENHEIMER AND COMPANY I, LLC."/>
    <n v="173"/>
    <s v="14.622.235-8"/>
    <s v="JONATHAN SALINAS"/>
    <s v="JTHB87"/>
    <s v="PXDH84"/>
    <s v="LAB370929"/>
    <m/>
    <s v="Z120030952"/>
    <s v="Z120030952"/>
    <s v="119278"/>
    <s v="NARANJAS"/>
    <s v="OC15OT09"/>
    <s v="COSTCO"/>
    <n v="15"/>
    <s v="CAT-1"/>
    <s v="CAT-1"/>
    <s v="EXPORTACION"/>
    <s v="60"/>
    <n v="60"/>
    <n v="900"/>
    <n v="10"/>
    <m/>
    <m/>
    <m/>
    <s v="13577"/>
    <m/>
    <s v="SAN ANTONIO"/>
    <s v="MARITIMO"/>
    <s v="PHILADELPHIA"/>
    <m/>
    <m/>
    <m/>
    <m/>
    <m/>
    <m/>
    <s v="CMA CGM BEIRA"/>
    <s v="TTNU8020995"/>
    <m/>
    <s v="USA      "/>
    <d v="2026-05-29T00:00:00"/>
    <s v="15.0"/>
    <n v="448"/>
    <m/>
    <m/>
    <m/>
    <s v="119278"/>
    <n v="19"/>
    <s v="91406"/>
    <m/>
    <s v="OPB SERVICIOS INTEGRALES SPA"/>
    <s v="LAB370929"/>
    <s v="119278"/>
    <m/>
    <m/>
    <m/>
    <s v="5.5"/>
    <n v="478"/>
    <s v="NORTEAMERICA"/>
    <s v="OPEN TOP"/>
    <s v="CHAMONATE SPA"/>
    <s v="ONE"/>
    <s v="SCLG12879700"/>
    <s v="ONEYSCLG12879700"/>
    <n v="46169"/>
    <m/>
    <s v="OPB SERVICIOS INTEGRALES SPA"/>
    <n v="46168"/>
    <d v="2026-05-29T00:00:00"/>
    <d v="2026-06-16T00:00:00"/>
    <x v="3"/>
  </r>
  <r>
    <s v="2025-2026"/>
    <n v="20532"/>
    <x v="3"/>
    <x v="3"/>
    <n v="22"/>
    <n v="5"/>
    <d v="2026-06-16T00:00:00"/>
    <s v="SAG"/>
    <s v="ALMAHUE EXPORT SPA"/>
    <s v="OPPY"/>
    <n v="19"/>
    <s v="DAVID OPPENHEIMER AND COMPANY I, LLC."/>
    <n v="173"/>
    <s v="14.622.235-8"/>
    <s v="JONATHAN SALINAS"/>
    <s v="JTHB87"/>
    <s v="PXDH84"/>
    <s v="LAB370929"/>
    <m/>
    <s v="Z120030955"/>
    <s v="Z120030955"/>
    <s v="119278"/>
    <s v="NARANJAS"/>
    <s v="OC15OT09"/>
    <s v="COSTCO"/>
    <n v="15"/>
    <s v="CAT-1"/>
    <s v="CAT-1"/>
    <s v="EXPORTACION"/>
    <s v="70"/>
    <n v="60"/>
    <n v="900"/>
    <n v="10"/>
    <m/>
    <m/>
    <m/>
    <s v="13577"/>
    <m/>
    <s v="SAN ANTONIO"/>
    <s v="MARITIMO"/>
    <s v="PHILADELPHIA"/>
    <m/>
    <m/>
    <m/>
    <m/>
    <m/>
    <m/>
    <s v="CMA CGM BEIRA"/>
    <s v="TTNU8020995"/>
    <m/>
    <s v="USA      "/>
    <d v="2026-05-29T00:00:00"/>
    <s v="15.0"/>
    <n v="448"/>
    <m/>
    <m/>
    <m/>
    <s v="119278"/>
    <n v="19"/>
    <s v="91406"/>
    <m/>
    <s v="OPB SERVICIOS INTEGRALES SPA"/>
    <s v="LAB370929"/>
    <s v="119278"/>
    <m/>
    <m/>
    <m/>
    <s v="5.5"/>
    <n v="478"/>
    <s v="NORTEAMERICA"/>
    <s v="OPEN TOP"/>
    <s v="CHAMONATE SPA"/>
    <s v="ONE"/>
    <s v="SCLG12879700"/>
    <s v="ONEYSCLG12879700"/>
    <n v="46169"/>
    <m/>
    <s v="OPB SERVICIOS INTEGRALES SPA"/>
    <n v="46168"/>
    <d v="2026-05-29T00:00:00"/>
    <d v="2026-06-16T00:00:00"/>
    <x v="3"/>
  </r>
  <r>
    <s v="2025-2026"/>
    <n v="20533"/>
    <x v="3"/>
    <x v="3"/>
    <n v="22"/>
    <n v="5"/>
    <d v="2026-06-16T00:00:00"/>
    <s v="SAG"/>
    <s v="ALMAHUE EXPORT SPA"/>
    <s v="OPPY"/>
    <n v="19"/>
    <s v="DAVID OPPENHEIMER AND COMPANY I, LLC."/>
    <n v="173"/>
    <s v="14.622.235-8"/>
    <s v="JONATHAN SALINAS"/>
    <s v="JTHB87"/>
    <s v="PXDH84"/>
    <s v="LAB370929"/>
    <m/>
    <s v="Z120030958"/>
    <s v="Z120030958"/>
    <s v="119278"/>
    <s v="NARANJAS"/>
    <s v="OC15OT09"/>
    <s v="COSTCO"/>
    <n v="15"/>
    <s v="CAT-1"/>
    <s v="CAT-1"/>
    <s v="EXPORTACION"/>
    <s v="70"/>
    <n v="60"/>
    <n v="900"/>
    <n v="10"/>
    <m/>
    <m/>
    <m/>
    <s v="13577"/>
    <m/>
    <s v="SAN ANTONIO"/>
    <s v="MARITIMO"/>
    <s v="PHILADELPHIA"/>
    <m/>
    <m/>
    <m/>
    <m/>
    <m/>
    <m/>
    <s v="CMA CGM BEIRA"/>
    <s v="TTNU8020995"/>
    <m/>
    <s v="USA      "/>
    <d v="2026-05-29T00:00:00"/>
    <s v="15.0"/>
    <n v="448"/>
    <m/>
    <m/>
    <m/>
    <s v="119278"/>
    <n v="19"/>
    <s v="91406"/>
    <m/>
    <s v="OPB SERVICIOS INTEGRALES SPA"/>
    <s v="LAB370929"/>
    <s v="119278"/>
    <m/>
    <m/>
    <m/>
    <s v="5.5"/>
    <n v="478"/>
    <s v="NORTEAMERICA"/>
    <s v="OPEN TOP"/>
    <s v="CHAMONATE SPA"/>
    <s v="ONE"/>
    <s v="SCLG12879700"/>
    <s v="ONEYSCLG12879700"/>
    <n v="46169"/>
    <m/>
    <s v="OPB SERVICIOS INTEGRALES SPA"/>
    <n v="46168"/>
    <d v="2026-05-29T00:00:00"/>
    <d v="2026-06-16T00:00:00"/>
    <x v="3"/>
  </r>
  <r>
    <s v="2025-2026"/>
    <n v="20534"/>
    <x v="3"/>
    <x v="3"/>
    <n v="22"/>
    <n v="5"/>
    <d v="2026-06-16T00:00:00"/>
    <s v="SAG"/>
    <s v="ALMAHUE EXPORT SPA"/>
    <s v="OPPY"/>
    <n v="19"/>
    <s v="DAVID OPPENHEIMER AND COMPANY I, LLC."/>
    <n v="173"/>
    <s v="14.622.235-8"/>
    <s v="JONATHAN SALINAS"/>
    <s v="JTHB87"/>
    <s v="PXDH84"/>
    <s v="LAB370929"/>
    <m/>
    <s v="Z120030959"/>
    <s v="Z120030959"/>
    <s v="119278"/>
    <s v="NARANJAS"/>
    <s v="OC15OT09"/>
    <s v="COSTCO"/>
    <n v="15"/>
    <s v="CAT-1"/>
    <s v="CAT-1"/>
    <s v="EXPORTACION"/>
    <s v="60"/>
    <n v="60"/>
    <n v="900"/>
    <n v="10"/>
    <m/>
    <m/>
    <m/>
    <s v="13577"/>
    <m/>
    <s v="SAN ANTONIO"/>
    <s v="MARITIMO"/>
    <s v="PHILADELPHIA"/>
    <m/>
    <m/>
    <m/>
    <m/>
    <m/>
    <m/>
    <s v="CMA CGM BEIRA"/>
    <s v="TTNU8020995"/>
    <m/>
    <s v="USA      "/>
    <d v="2026-05-29T00:00:00"/>
    <s v="15.0"/>
    <n v="448"/>
    <m/>
    <m/>
    <m/>
    <s v="119278"/>
    <n v="19"/>
    <s v="91406"/>
    <m/>
    <s v="OPB SERVICIOS INTEGRALES SPA"/>
    <s v="LAB370929"/>
    <s v="119278"/>
    <m/>
    <m/>
    <m/>
    <s v="5.5"/>
    <n v="478"/>
    <s v="NORTEAMERICA"/>
    <s v="OPEN TOP"/>
    <s v="CHAMONATE SPA"/>
    <s v="ONE"/>
    <s v="SCLG12879700"/>
    <s v="ONEYSCLG12879700"/>
    <n v="46169"/>
    <m/>
    <s v="OPB SERVICIOS INTEGRALES SPA"/>
    <n v="46168"/>
    <d v="2026-05-29T00:00:00"/>
    <d v="2026-06-16T00:00:00"/>
    <x v="3"/>
  </r>
  <r>
    <s v="2025-2026"/>
    <n v="20535"/>
    <x v="3"/>
    <x v="3"/>
    <n v="22"/>
    <n v="5"/>
    <d v="2026-06-16T00:00:00"/>
    <s v="SAG"/>
    <s v="ALMAHUE EXPORT SPA"/>
    <s v="OPPY"/>
    <n v="19"/>
    <s v="DAVID OPPENHEIMER AND COMPANY I, LLC."/>
    <n v="173"/>
    <s v="14.622.235-8"/>
    <s v="JONATHAN SALINAS"/>
    <s v="JTHB87"/>
    <s v="PXDH84"/>
    <s v="LAB370929"/>
    <m/>
    <s v="Z120030963"/>
    <s v="Z120030963"/>
    <s v="119278"/>
    <s v="NARANJAS"/>
    <s v="OC15OT09"/>
    <s v="COSTCO"/>
    <n v="15"/>
    <s v="CAT-1"/>
    <s v="CAT-1"/>
    <s v="EXPORTACION"/>
    <s v="60"/>
    <n v="60"/>
    <n v="900"/>
    <n v="10"/>
    <m/>
    <m/>
    <m/>
    <s v="13577"/>
    <m/>
    <s v="SAN ANTONIO"/>
    <s v="MARITIMO"/>
    <s v="PHILADELPHIA"/>
    <m/>
    <m/>
    <m/>
    <m/>
    <m/>
    <m/>
    <s v="CMA CGM BEIRA"/>
    <s v="TTNU8020995"/>
    <m/>
    <s v="USA      "/>
    <d v="2026-05-29T00:00:00"/>
    <s v="15.0"/>
    <n v="448"/>
    <m/>
    <m/>
    <m/>
    <s v="119278"/>
    <n v="19"/>
    <s v="91406"/>
    <m/>
    <s v="OPB SERVICIOS INTEGRALES SPA"/>
    <s v="LAB370929"/>
    <s v="119278"/>
    <m/>
    <m/>
    <m/>
    <s v="5.5"/>
    <n v="478"/>
    <s v="NORTEAMERICA"/>
    <s v="OPEN TOP"/>
    <s v="CHAMONATE SPA"/>
    <s v="ONE"/>
    <s v="SCLG12879700"/>
    <s v="ONEYSCLG12879700"/>
    <n v="46169"/>
    <m/>
    <s v="OPB SERVICIOS INTEGRALES SPA"/>
    <n v="46168"/>
    <d v="2026-05-29T00:00:00"/>
    <d v="2026-06-16T00:00:00"/>
    <x v="3"/>
  </r>
  <r>
    <s v="2025-2026"/>
    <n v="20536"/>
    <x v="3"/>
    <x v="3"/>
    <n v="22"/>
    <n v="5"/>
    <d v="2026-06-16T00:00:00"/>
    <s v="SAG"/>
    <s v="ALMAHUE EXPORT SPA"/>
    <s v="OPPY"/>
    <n v="19"/>
    <s v="DAVID OPPENHEIMER AND COMPANY I, LLC."/>
    <n v="173"/>
    <s v="14.622.235-8"/>
    <s v="JONATHAN SALINAS"/>
    <s v="JTHB87"/>
    <s v="PXDH84"/>
    <s v="LAB370929"/>
    <m/>
    <s v="Z120030968"/>
    <s v="Z120030968"/>
    <s v="119278"/>
    <s v="NARANJAS"/>
    <s v="OC15OT09"/>
    <s v="COSTCO"/>
    <n v="15"/>
    <s v="CAT-1"/>
    <s v="CAT-1"/>
    <s v="EXPORTACION"/>
    <s v="60"/>
    <n v="60"/>
    <n v="900"/>
    <n v="10"/>
    <m/>
    <m/>
    <m/>
    <s v="13577"/>
    <m/>
    <s v="SAN ANTONIO"/>
    <s v="MARITIMO"/>
    <s v="PHILADELPHIA"/>
    <m/>
    <m/>
    <m/>
    <m/>
    <m/>
    <m/>
    <s v="CMA CGM BEIRA"/>
    <s v="TTNU8020995"/>
    <m/>
    <s v="USA      "/>
    <d v="2026-05-29T00:00:00"/>
    <s v="15.0"/>
    <n v="448"/>
    <m/>
    <m/>
    <m/>
    <s v="119278"/>
    <n v="19"/>
    <s v="91406"/>
    <m/>
    <s v="OPB SERVICIOS INTEGRALES SPA"/>
    <s v="LAB370929"/>
    <s v="119278"/>
    <m/>
    <m/>
    <m/>
    <s v="5.5"/>
    <n v="478"/>
    <s v="NORTEAMERICA"/>
    <s v="OPEN TOP"/>
    <s v="CHAMONATE SPA"/>
    <s v="ONE"/>
    <s v="SCLG12879700"/>
    <s v="ONEYSCLG12879700"/>
    <n v="46169"/>
    <m/>
    <s v="OPB SERVICIOS INTEGRALES SPA"/>
    <n v="46168"/>
    <d v="2026-05-29T00:00:00"/>
    <d v="2026-06-16T00:00:00"/>
    <x v="3"/>
  </r>
  <r>
    <s v="2025-2026"/>
    <n v="20537"/>
    <x v="3"/>
    <x v="3"/>
    <n v="22"/>
    <n v="5"/>
    <d v="2026-06-16T00:00:00"/>
    <s v="SAG"/>
    <s v="ALMAHUE EXPORT SPA"/>
    <s v="OPPY"/>
    <n v="19"/>
    <s v="DAVID OPPENHEIMER AND COMPANY I, LLC."/>
    <n v="173"/>
    <s v="14.622.235-8"/>
    <s v="JONATHAN SALINAS"/>
    <s v="JTHB87"/>
    <s v="PXDH84"/>
    <s v="LAB370929"/>
    <m/>
    <s v="Z120030982"/>
    <s v="Z120030982"/>
    <s v="119278"/>
    <s v="NARANJAS"/>
    <s v="OC15G02"/>
    <s v="GRANEL"/>
    <n v="15"/>
    <s v="CAT-1"/>
    <s v="CAT-1"/>
    <s v="EXPORTACION"/>
    <s v="110"/>
    <n v="80"/>
    <n v="1200"/>
    <n v="10"/>
    <m/>
    <m/>
    <m/>
    <s v="13577"/>
    <m/>
    <s v="SAN ANTONIO"/>
    <s v="MARITIMO"/>
    <s v="PHILADELPHIA"/>
    <m/>
    <m/>
    <m/>
    <m/>
    <m/>
    <m/>
    <s v="CMA CGM BEIRA"/>
    <s v="TTNU8020995"/>
    <m/>
    <s v="USA      "/>
    <d v="2026-05-29T00:00:00"/>
    <s v="15.0"/>
    <n v="448"/>
    <m/>
    <m/>
    <m/>
    <s v="119278"/>
    <n v="19"/>
    <s v="91406"/>
    <m/>
    <s v="OPB SERVICIOS INTEGRALES SPA"/>
    <s v="LAB370929"/>
    <s v="119278"/>
    <m/>
    <m/>
    <m/>
    <s v="5.5"/>
    <n v="478"/>
    <s v="NORTEAMERICA"/>
    <s v="ALMAHUE TRADICIONAL"/>
    <s v="CHAMONATE SPA"/>
    <s v="ONE"/>
    <s v="SCLG12879700"/>
    <s v="ONEYSCLG12879700"/>
    <n v="46169"/>
    <m/>
    <s v="OPB SERVICIOS INTEGRALES SPA"/>
    <n v="46168"/>
    <d v="2026-05-29T00:00:00"/>
    <d v="2026-06-16T00:00:00"/>
    <x v="3"/>
  </r>
  <r>
    <s v="2025-2026"/>
    <n v="20538"/>
    <x v="4"/>
    <x v="4"/>
    <n v="22"/>
    <n v="5"/>
    <d v="2026-06-24T00:00:00"/>
    <s v="SAG"/>
    <s v="ALMAHUE EXPORT SPA"/>
    <s v="NAP"/>
    <n v="11"/>
    <s v="NORTH AMERICAN PRODUCE BUYERS LTD"/>
    <n v="346"/>
    <s v="18.568.294-3"/>
    <s v="PABLO OTAIZA"/>
    <s v="SSBS90"/>
    <m/>
    <s v="FX41705241"/>
    <m/>
    <s v="Z120028160"/>
    <s v="Z120028160"/>
    <s v="119278"/>
    <s v="NARANJAS"/>
    <s v="OC15OT10"/>
    <s v="CANADA"/>
    <n v="15"/>
    <s v="CAT-1"/>
    <s v="CAT-1"/>
    <s v="EXPORTACION"/>
    <s v="40"/>
    <n v="60"/>
    <n v="900"/>
    <n v="10"/>
    <m/>
    <m/>
    <m/>
    <s v="13583"/>
    <m/>
    <s v="VALPARAISO"/>
    <s v="MARITIMO"/>
    <s v="TORONTO"/>
    <m/>
    <m/>
    <m/>
    <m/>
    <m/>
    <m/>
    <s v="MSC RAYSHMI"/>
    <s v="TEMU9136950"/>
    <m/>
    <s v="CANADA  "/>
    <d v="2026-05-31T00:00:00"/>
    <s v="15.0"/>
    <n v="449"/>
    <m/>
    <m/>
    <m/>
    <s v="119278"/>
    <n v="19"/>
    <s v="91406"/>
    <m/>
    <s v="OPB SERVICIOS INTEGRALES SPA"/>
    <s v="FX41705241"/>
    <s v="119278"/>
    <m/>
    <m/>
    <m/>
    <s v="5.5"/>
    <n v="479"/>
    <s v="NORTEAMERICA"/>
    <s v="OPEN TOP"/>
    <s v="CHAMONATE SPA"/>
    <s v="MSC"/>
    <s v="070ISA1237975"/>
    <s v="MEDUW9426786"/>
    <n v="46171"/>
    <m/>
    <s v="OPB SERVICIOS INTEGRALES SPA"/>
    <n v="46167"/>
    <d v="2026-05-31T00:00:00"/>
    <d v="2026-06-24T00:00:00"/>
    <x v="4"/>
  </r>
  <r>
    <s v="2025-2026"/>
    <n v="20539"/>
    <x v="4"/>
    <x v="4"/>
    <n v="22"/>
    <n v="5"/>
    <d v="2026-06-24T00:00:00"/>
    <s v="SAG"/>
    <s v="ALMAHUE EXPORT SPA"/>
    <s v="NAP"/>
    <n v="11"/>
    <s v="NORTH AMERICAN PRODUCE BUYERS LTD"/>
    <n v="346"/>
    <s v="18.568.294-3"/>
    <s v="PABLO OTAIZA"/>
    <s v="SSBS90"/>
    <m/>
    <s v="FX41705241"/>
    <m/>
    <s v="Z120028165"/>
    <s v="Z120028165"/>
    <s v="119278"/>
    <s v="NARANJAS"/>
    <s v="OC15OT10"/>
    <s v="CANADA"/>
    <n v="15"/>
    <s v="CAT-1"/>
    <s v="CAT-1"/>
    <s v="EXPORTACION"/>
    <s v="50"/>
    <n v="60"/>
    <n v="900"/>
    <n v="10"/>
    <m/>
    <m/>
    <m/>
    <s v="13583"/>
    <m/>
    <s v="VALPARAISO"/>
    <s v="MARITIMO"/>
    <s v="TORONTO"/>
    <m/>
    <m/>
    <m/>
    <m/>
    <m/>
    <m/>
    <s v="MSC RAYSHMI"/>
    <s v="TEMU9136950"/>
    <m/>
    <s v="CANADA  "/>
    <d v="2026-05-31T00:00:00"/>
    <s v="15.0"/>
    <n v="449"/>
    <m/>
    <m/>
    <m/>
    <s v="119278"/>
    <n v="19"/>
    <s v="91406"/>
    <m/>
    <s v="OPB SERVICIOS INTEGRALES SPA"/>
    <s v="FX41705241"/>
    <s v="119278"/>
    <m/>
    <m/>
    <m/>
    <s v="5.5"/>
    <n v="479"/>
    <s v="NORTEAMERICA"/>
    <s v="OPEN TOP"/>
    <s v="CHAMONATE SPA"/>
    <s v="MSC"/>
    <s v="070ISA1237975"/>
    <s v="MEDUW9426786"/>
    <n v="46171"/>
    <m/>
    <s v="OPB SERVICIOS INTEGRALES SPA"/>
    <n v="46167"/>
    <d v="2026-05-31T00:00:00"/>
    <d v="2026-06-24T00:00:00"/>
    <x v="4"/>
  </r>
  <r>
    <s v="2025-2026"/>
    <n v="20540"/>
    <x v="4"/>
    <x v="4"/>
    <n v="22"/>
    <n v="5"/>
    <d v="2026-06-24T00:00:00"/>
    <s v="SAG"/>
    <s v="ALMAHUE EXPORT SPA"/>
    <s v="NAP"/>
    <n v="11"/>
    <s v="NORTH AMERICAN PRODUCE BUYERS LTD"/>
    <n v="346"/>
    <s v="18.568.294-3"/>
    <s v="PABLO OTAIZA"/>
    <s v="SSBS90"/>
    <m/>
    <s v="FX41705241"/>
    <m/>
    <s v="Z120028166"/>
    <s v="Z120028166"/>
    <s v="119278"/>
    <s v="NARANJAS"/>
    <s v="OC15OT10"/>
    <s v="CANADA"/>
    <n v="15"/>
    <s v="CAT-1"/>
    <s v="CAT-1"/>
    <s v="EXPORTACION"/>
    <s v="40"/>
    <n v="2"/>
    <n v="30"/>
    <n v="10"/>
    <m/>
    <m/>
    <m/>
    <s v="13583"/>
    <m/>
    <s v="VALPARAISO"/>
    <s v="MARITIMO"/>
    <s v="TORONTO"/>
    <m/>
    <m/>
    <m/>
    <m/>
    <m/>
    <m/>
    <s v="MSC RAYSHMI"/>
    <s v="TEMU9136950"/>
    <m/>
    <s v="CANADA  "/>
    <d v="2026-05-31T00:00:00"/>
    <s v="15.0"/>
    <n v="449"/>
    <m/>
    <m/>
    <m/>
    <s v="119278"/>
    <n v="19"/>
    <s v="91406"/>
    <m/>
    <s v="OPB SERVICIOS INTEGRALES SPA"/>
    <s v="FX41705241"/>
    <s v="119278"/>
    <m/>
    <m/>
    <m/>
    <s v="5.5"/>
    <n v="479"/>
    <s v="NORTEAMERICA"/>
    <s v="OPEN TOP"/>
    <s v="CHAMONATE SPA"/>
    <s v="MSC"/>
    <s v="070ISA1237975"/>
    <s v="MEDUW9426786"/>
    <n v="46171"/>
    <m/>
    <s v="OPB SERVICIOS INTEGRALES SPA"/>
    <n v="46167"/>
    <d v="2026-05-31T00:00:00"/>
    <d v="2026-06-24T00:00:00"/>
    <x v="4"/>
  </r>
  <r>
    <s v="2025-2026"/>
    <n v="20541"/>
    <x v="4"/>
    <x v="4"/>
    <n v="22"/>
    <n v="5"/>
    <d v="2026-06-24T00:00:00"/>
    <s v="SAG"/>
    <s v="ALMAHUE EXPORT SPA"/>
    <s v="NAP"/>
    <n v="11"/>
    <s v="NORTH AMERICAN PRODUCE BUYERS LTD"/>
    <n v="346"/>
    <s v="18.568.294-3"/>
    <s v="PABLO OTAIZA"/>
    <s v="SSBS90"/>
    <m/>
    <s v="FX41705241"/>
    <m/>
    <s v="Z120028166"/>
    <s v="Z120028166"/>
    <s v="119278"/>
    <s v="NARANJAS"/>
    <s v="OC15OT10"/>
    <s v="CANADA"/>
    <n v="15"/>
    <s v="CAT-1"/>
    <s v="CAT-1"/>
    <s v="EXPORTACION"/>
    <s v="40"/>
    <n v="46"/>
    <n v="690"/>
    <n v="10"/>
    <m/>
    <m/>
    <m/>
    <s v="13583"/>
    <m/>
    <s v="VALPARAISO"/>
    <s v="MARITIMO"/>
    <s v="TORONTO"/>
    <m/>
    <m/>
    <m/>
    <m/>
    <m/>
    <m/>
    <s v="MSC RAYSHMI"/>
    <s v="TEMU9136950"/>
    <m/>
    <s v="CANADA  "/>
    <d v="2026-05-31T00:00:00"/>
    <s v="15.0"/>
    <n v="449"/>
    <m/>
    <m/>
    <m/>
    <s v="119278"/>
    <n v="19"/>
    <s v="91406"/>
    <m/>
    <s v="OPB SERVICIOS INTEGRALES SPA"/>
    <s v="FX41705241"/>
    <s v="119278"/>
    <m/>
    <m/>
    <m/>
    <s v="5.5"/>
    <n v="479"/>
    <s v="NORTEAMERICA"/>
    <s v="OPEN TOP"/>
    <s v="CHAMONATE SPA"/>
    <s v="MSC"/>
    <s v="070ISA1237975"/>
    <s v="MEDUW9426786"/>
    <n v="46171"/>
    <m/>
    <s v="OPB SERVICIOS INTEGRALES SPA"/>
    <n v="46167"/>
    <d v="2026-05-31T00:00:00"/>
    <d v="2026-06-24T00:00:00"/>
    <x v="4"/>
  </r>
  <r>
    <s v="2025-2026"/>
    <n v="20542"/>
    <x v="4"/>
    <x v="4"/>
    <n v="22"/>
    <n v="5"/>
    <d v="2026-06-24T00:00:00"/>
    <s v="SAG"/>
    <s v="ALMAHUE EXPORT SPA"/>
    <s v="NAP"/>
    <n v="11"/>
    <s v="NORTH AMERICAN PRODUCE BUYERS LTD"/>
    <n v="346"/>
    <s v="18.568.294-3"/>
    <s v="PABLO OTAIZA"/>
    <s v="SSBS90"/>
    <m/>
    <s v="FX41705241"/>
    <m/>
    <s v="Z120028166"/>
    <s v="Z120028166"/>
    <s v="119278"/>
    <s v="NARANJAS"/>
    <s v="OC15OT10"/>
    <s v="CANADA"/>
    <n v="15"/>
    <s v="CAT-1"/>
    <s v="CAT-1"/>
    <s v="EXPORTACION"/>
    <s v="40"/>
    <n v="12"/>
    <n v="180"/>
    <n v="10"/>
    <m/>
    <m/>
    <m/>
    <s v="13583"/>
    <m/>
    <s v="VALPARAISO"/>
    <s v="MARITIMO"/>
    <s v="TORONTO"/>
    <m/>
    <m/>
    <m/>
    <m/>
    <m/>
    <m/>
    <s v="MSC RAYSHMI"/>
    <s v="TEMU9136950"/>
    <m/>
    <s v="CANADA  "/>
    <d v="2026-05-31T00:00:00"/>
    <s v="15.0"/>
    <n v="449"/>
    <m/>
    <m/>
    <m/>
    <s v="119278"/>
    <n v="19"/>
    <s v="91406"/>
    <m/>
    <s v="OPB SERVICIOS INTEGRALES SPA"/>
    <s v="FX41705241"/>
    <s v="119278"/>
    <m/>
    <m/>
    <m/>
    <s v="5.5"/>
    <n v="479"/>
    <s v="NORTEAMERICA"/>
    <s v="OPEN TOP"/>
    <s v="CHAMONATE SPA"/>
    <s v="MSC"/>
    <s v="070ISA1237975"/>
    <s v="MEDUW9426786"/>
    <n v="46171"/>
    <m/>
    <s v="OPB SERVICIOS INTEGRALES SPA"/>
    <n v="46167"/>
    <d v="2026-05-31T00:00:00"/>
    <d v="2026-06-24T00:00:00"/>
    <x v="4"/>
  </r>
  <r>
    <s v="2025-2026"/>
    <n v="20543"/>
    <x v="4"/>
    <x v="4"/>
    <n v="22"/>
    <n v="5"/>
    <d v="2026-06-24T00:00:00"/>
    <s v="SAG"/>
    <s v="ALMAHUE EXPORT SPA"/>
    <s v="NAP"/>
    <n v="11"/>
    <s v="NORTH AMERICAN PRODUCE BUYERS LTD"/>
    <n v="346"/>
    <s v="18.568.294-3"/>
    <s v="PABLO OTAIZA"/>
    <s v="SSBS90"/>
    <m/>
    <s v="FX41705241"/>
    <m/>
    <s v="Z120028170"/>
    <s v="Z120028170"/>
    <s v="119278"/>
    <s v="NARANJAS"/>
    <s v="OC15OT10"/>
    <s v="CANADA"/>
    <n v="15"/>
    <s v="CAT-1"/>
    <s v="CAT-1"/>
    <s v="EXPORTACION"/>
    <s v="50"/>
    <n v="52"/>
    <n v="780"/>
    <n v="10"/>
    <m/>
    <m/>
    <m/>
    <s v="13583"/>
    <m/>
    <s v="VALPARAISO"/>
    <s v="MARITIMO"/>
    <s v="TORONTO"/>
    <m/>
    <m/>
    <m/>
    <m/>
    <m/>
    <m/>
    <s v="MSC RAYSHMI"/>
    <s v="TEMU9136950"/>
    <m/>
    <s v="CANADA  "/>
    <d v="2026-05-31T00:00:00"/>
    <s v="15.0"/>
    <n v="449"/>
    <m/>
    <m/>
    <m/>
    <s v="119278"/>
    <n v="19"/>
    <s v="91406"/>
    <m/>
    <s v="OPB SERVICIOS INTEGRALES SPA"/>
    <s v="FX41705241"/>
    <s v="119278"/>
    <m/>
    <m/>
    <m/>
    <s v="5.5"/>
    <n v="479"/>
    <s v="NORTEAMERICA"/>
    <s v="OPEN TOP"/>
    <s v="CHAMONATE SPA"/>
    <s v="MSC"/>
    <s v="070ISA1237975"/>
    <s v="MEDUW9426786"/>
    <n v="46171"/>
    <m/>
    <s v="OPB SERVICIOS INTEGRALES SPA"/>
    <n v="46167"/>
    <d v="2026-05-31T00:00:00"/>
    <d v="2026-06-24T00:00:00"/>
    <x v="4"/>
  </r>
  <r>
    <s v="2025-2026"/>
    <n v="20544"/>
    <x v="4"/>
    <x v="4"/>
    <n v="22"/>
    <n v="5"/>
    <d v="2026-06-24T00:00:00"/>
    <s v="SAG"/>
    <s v="ALMAHUE EXPORT SPA"/>
    <s v="NAP"/>
    <n v="11"/>
    <s v="NORTH AMERICAN PRODUCE BUYERS LTD"/>
    <n v="346"/>
    <s v="18.568.294-3"/>
    <s v="PABLO OTAIZA"/>
    <s v="SSBS90"/>
    <m/>
    <s v="FX41705241"/>
    <m/>
    <s v="Z120028170"/>
    <s v="Z120028170"/>
    <s v="119278"/>
    <s v="NARANJAS"/>
    <s v="OC15OT10"/>
    <s v="CANADA"/>
    <n v="15"/>
    <s v="CAT-1"/>
    <s v="CAT-1"/>
    <s v="EXPORTACION"/>
    <s v="50"/>
    <n v="8"/>
    <n v="120"/>
    <n v="10"/>
    <m/>
    <m/>
    <m/>
    <s v="13583"/>
    <m/>
    <s v="VALPARAISO"/>
    <s v="MARITIMO"/>
    <s v="TORONTO"/>
    <m/>
    <m/>
    <m/>
    <m/>
    <m/>
    <m/>
    <s v="MSC RAYSHMI"/>
    <s v="TEMU9136950"/>
    <m/>
    <s v="CANADA  "/>
    <d v="2026-05-31T00:00:00"/>
    <s v="15.0"/>
    <n v="449"/>
    <m/>
    <m/>
    <m/>
    <s v="119278"/>
    <n v="19"/>
    <s v="91406"/>
    <m/>
    <s v="OPB SERVICIOS INTEGRALES SPA"/>
    <s v="FX41705241"/>
    <s v="119278"/>
    <m/>
    <m/>
    <m/>
    <s v="5.5"/>
    <n v="479"/>
    <s v="NORTEAMERICA"/>
    <s v="OPEN TOP"/>
    <s v="CHAMONATE SPA"/>
    <s v="MSC"/>
    <s v="070ISA1237975"/>
    <s v="MEDUW9426786"/>
    <n v="46171"/>
    <m/>
    <s v="OPB SERVICIOS INTEGRALES SPA"/>
    <n v="46167"/>
    <d v="2026-05-31T00:00:00"/>
    <d v="2026-06-24T00:00:00"/>
    <x v="4"/>
  </r>
  <r>
    <s v="2025-2026"/>
    <n v="20545"/>
    <x v="4"/>
    <x v="4"/>
    <n v="22"/>
    <n v="5"/>
    <d v="2026-06-24T00:00:00"/>
    <s v="SAG"/>
    <s v="ALMAHUE EXPORT SPA"/>
    <s v="NAP"/>
    <n v="11"/>
    <s v="NORTH AMERICAN PRODUCE BUYERS LTD"/>
    <n v="346"/>
    <s v="18.568.294-3"/>
    <s v="PABLO OTAIZA"/>
    <s v="SSBS90"/>
    <m/>
    <s v="FX41705241"/>
    <m/>
    <s v="Z120028175"/>
    <s v="Z120028175"/>
    <s v="119278"/>
    <s v="NARANJAS"/>
    <s v="OC15OT10"/>
    <s v="CANADA"/>
    <n v="15"/>
    <s v="CAT-1"/>
    <s v="CAT-1"/>
    <s v="EXPORTACION"/>
    <s v="50"/>
    <n v="60"/>
    <n v="900"/>
    <n v="10"/>
    <m/>
    <m/>
    <m/>
    <s v="13583"/>
    <m/>
    <s v="VALPARAISO"/>
    <s v="MARITIMO"/>
    <s v="TORONTO"/>
    <m/>
    <m/>
    <m/>
    <m/>
    <m/>
    <m/>
    <s v="MSC RAYSHMI"/>
    <s v="TEMU9136950"/>
    <m/>
    <s v="CANADA  "/>
    <d v="2026-05-31T00:00:00"/>
    <s v="15.0"/>
    <n v="449"/>
    <m/>
    <m/>
    <m/>
    <s v="119278"/>
    <n v="19"/>
    <s v="91406"/>
    <m/>
    <s v="OPB SERVICIOS INTEGRALES SPA"/>
    <s v="FX41705241"/>
    <s v="119278"/>
    <m/>
    <m/>
    <m/>
    <s v="5.5"/>
    <n v="479"/>
    <s v="NORTEAMERICA"/>
    <s v="OPEN TOP"/>
    <s v="CHAMONATE SPA"/>
    <s v="MSC"/>
    <s v="070ISA1237975"/>
    <s v="MEDUW9426786"/>
    <n v="46171"/>
    <m/>
    <s v="OPB SERVICIOS INTEGRALES SPA"/>
    <n v="46167"/>
    <d v="2026-05-31T00:00:00"/>
    <d v="2026-06-24T00:00:00"/>
    <x v="4"/>
  </r>
  <r>
    <s v="2025-2026"/>
    <n v="20546"/>
    <x v="4"/>
    <x v="4"/>
    <n v="22"/>
    <n v="5"/>
    <d v="2026-06-24T00:00:00"/>
    <s v="SAG"/>
    <s v="ALMAHUE EXPORT SPA"/>
    <s v="NAP"/>
    <n v="11"/>
    <s v="NORTH AMERICAN PRODUCE BUYERS LTD"/>
    <n v="346"/>
    <s v="18.568.294-3"/>
    <s v="PABLO OTAIZA"/>
    <s v="SSBS90"/>
    <m/>
    <s v="FX41705241"/>
    <m/>
    <s v="Z120028177"/>
    <s v="Z120028177"/>
    <s v="119278"/>
    <s v="NARANJAS"/>
    <s v="OC15OT10"/>
    <s v="CANADA"/>
    <n v="15"/>
    <s v="CAT-1"/>
    <s v="CAT-1"/>
    <s v="EXPORTACION"/>
    <s v="40"/>
    <n v="24"/>
    <n v="360"/>
    <n v="10"/>
    <m/>
    <m/>
    <m/>
    <s v="13583"/>
    <m/>
    <s v="VALPARAISO"/>
    <s v="MARITIMO"/>
    <s v="TORONTO"/>
    <m/>
    <m/>
    <m/>
    <m/>
    <m/>
    <m/>
    <s v="MSC RAYSHMI"/>
    <s v="TEMU9136950"/>
    <m/>
    <s v="CANADA  "/>
    <d v="2026-05-31T00:00:00"/>
    <s v="15.0"/>
    <n v="449"/>
    <m/>
    <m/>
    <m/>
    <s v="119278"/>
    <n v="19"/>
    <s v="91406"/>
    <m/>
    <s v="OPB SERVICIOS INTEGRALES SPA"/>
    <s v="FX41705241"/>
    <s v="119278"/>
    <m/>
    <m/>
    <m/>
    <s v="5.5"/>
    <n v="479"/>
    <s v="NORTEAMERICA"/>
    <s v="OPEN TOP"/>
    <s v="CHAMONATE SPA"/>
    <s v="MSC"/>
    <s v="070ISA1237975"/>
    <s v="MEDUW9426786"/>
    <n v="46171"/>
    <m/>
    <s v="OPB SERVICIOS INTEGRALES SPA"/>
    <n v="46167"/>
    <d v="2026-05-31T00:00:00"/>
    <d v="2026-06-24T00:00:00"/>
    <x v="4"/>
  </r>
  <r>
    <s v="2025-2026"/>
    <n v="20547"/>
    <x v="4"/>
    <x v="4"/>
    <n v="22"/>
    <n v="5"/>
    <d v="2026-06-24T00:00:00"/>
    <s v="SAG"/>
    <s v="ALMAHUE EXPORT SPA"/>
    <s v="NAP"/>
    <n v="11"/>
    <s v="NORTH AMERICAN PRODUCE BUYERS LTD"/>
    <n v="346"/>
    <s v="18.568.294-3"/>
    <s v="PABLO OTAIZA"/>
    <s v="SSBS90"/>
    <m/>
    <s v="FX41705241"/>
    <m/>
    <s v="Z120028177"/>
    <s v="Z120028177"/>
    <s v="119278"/>
    <s v="NARANJAS"/>
    <s v="OC15OT10"/>
    <s v="CANADA"/>
    <n v="15"/>
    <s v="CAT-1"/>
    <s v="CAT-1"/>
    <s v="EXPORTACION"/>
    <s v="40"/>
    <n v="36"/>
    <n v="540"/>
    <n v="10"/>
    <m/>
    <m/>
    <m/>
    <s v="13583"/>
    <m/>
    <s v="VALPARAISO"/>
    <s v="MARITIMO"/>
    <s v="TORONTO"/>
    <m/>
    <m/>
    <m/>
    <m/>
    <m/>
    <m/>
    <s v="MSC RAYSHMI"/>
    <s v="TEMU9136950"/>
    <m/>
    <s v="CANADA  "/>
    <d v="2026-05-31T00:00:00"/>
    <s v="15.0"/>
    <n v="449"/>
    <m/>
    <m/>
    <m/>
    <s v="119278"/>
    <n v="19"/>
    <s v="91406"/>
    <m/>
    <s v="OPB SERVICIOS INTEGRALES SPA"/>
    <s v="FX41705241"/>
    <s v="119278"/>
    <m/>
    <m/>
    <m/>
    <s v="5.5"/>
    <n v="479"/>
    <s v="NORTEAMERICA"/>
    <s v="OPEN TOP"/>
    <s v="CHAMONATE SPA"/>
    <s v="MSC"/>
    <s v="070ISA1237975"/>
    <s v="MEDUW9426786"/>
    <n v="46171"/>
    <m/>
    <s v="OPB SERVICIOS INTEGRALES SPA"/>
    <n v="46167"/>
    <d v="2026-05-31T00:00:00"/>
    <d v="2026-06-24T00:00:00"/>
    <x v="4"/>
  </r>
  <r>
    <s v="2025-2026"/>
    <n v="20548"/>
    <x v="4"/>
    <x v="4"/>
    <n v="22"/>
    <n v="5"/>
    <d v="2026-06-24T00:00:00"/>
    <s v="SAG"/>
    <s v="ALMAHUE EXPORT SPA"/>
    <s v="NAP"/>
    <n v="11"/>
    <s v="NORTH AMERICAN PRODUCE BUYERS LTD"/>
    <n v="346"/>
    <s v="18.568.294-3"/>
    <s v="PABLO OTAIZA"/>
    <s v="SSBS90"/>
    <m/>
    <s v="FX41705241"/>
    <m/>
    <s v="Z120028181"/>
    <s v="Z120028181"/>
    <s v="119278"/>
    <s v="NARANJAS"/>
    <s v="OC15OT10"/>
    <s v="CANADA"/>
    <n v="15"/>
    <s v="CAT-1"/>
    <s v="CAT-1"/>
    <s v="EXPORTACION"/>
    <s v="50"/>
    <n v="60"/>
    <n v="900"/>
    <n v="10"/>
    <m/>
    <m/>
    <m/>
    <s v="13583"/>
    <m/>
    <s v="VALPARAISO"/>
    <s v="MARITIMO"/>
    <s v="TORONTO"/>
    <m/>
    <m/>
    <m/>
    <m/>
    <m/>
    <m/>
    <s v="MSC RAYSHMI"/>
    <s v="TEMU9136950"/>
    <m/>
    <s v="CANADA  "/>
    <d v="2026-05-31T00:00:00"/>
    <s v="15.0"/>
    <n v="449"/>
    <m/>
    <m/>
    <m/>
    <s v="119278"/>
    <n v="19"/>
    <s v="91406"/>
    <m/>
    <s v="OPB SERVICIOS INTEGRALES SPA"/>
    <s v="FX41705241"/>
    <s v="119278"/>
    <m/>
    <m/>
    <m/>
    <s v="5.5"/>
    <n v="479"/>
    <s v="NORTEAMERICA"/>
    <s v="OPEN TOP"/>
    <s v="CHAMONATE SPA"/>
    <s v="MSC"/>
    <s v="070ISA1237975"/>
    <s v="MEDUW9426786"/>
    <n v="46171"/>
    <m/>
    <s v="OPB SERVICIOS INTEGRALES SPA"/>
    <n v="46167"/>
    <d v="2026-05-31T00:00:00"/>
    <d v="2026-06-24T00:00:00"/>
    <x v="4"/>
  </r>
  <r>
    <s v="2025-2026"/>
    <n v="20549"/>
    <x v="4"/>
    <x v="4"/>
    <n v="22"/>
    <n v="5"/>
    <d v="2026-06-24T00:00:00"/>
    <s v="SAG"/>
    <s v="ALMAHUE EXPORT SPA"/>
    <s v="NAP"/>
    <n v="11"/>
    <s v="NORTH AMERICAN PRODUCE BUYERS LTD"/>
    <n v="346"/>
    <s v="18.568.294-3"/>
    <s v="PABLO OTAIZA"/>
    <s v="SSBS90"/>
    <m/>
    <s v="FX41705241"/>
    <m/>
    <s v="Z120028184"/>
    <s v="Z120028184"/>
    <s v="119278"/>
    <s v="NARANJAS"/>
    <s v="OC15OT10"/>
    <s v="CANADA"/>
    <n v="15"/>
    <s v="CAT-1"/>
    <s v="CAT-1"/>
    <s v="EXPORTACION"/>
    <s v="50"/>
    <n v="60"/>
    <n v="900"/>
    <n v="10"/>
    <m/>
    <m/>
    <m/>
    <s v="13583"/>
    <m/>
    <s v="VALPARAISO"/>
    <s v="MARITIMO"/>
    <s v="TORONTO"/>
    <m/>
    <m/>
    <m/>
    <m/>
    <m/>
    <m/>
    <s v="MSC RAYSHMI"/>
    <s v="TEMU9136950"/>
    <m/>
    <s v="CANADA  "/>
    <d v="2026-05-31T00:00:00"/>
    <s v="15.0"/>
    <n v="449"/>
    <m/>
    <m/>
    <m/>
    <s v="119278"/>
    <n v="19"/>
    <s v="91406"/>
    <m/>
    <s v="OPB SERVICIOS INTEGRALES SPA"/>
    <s v="FX41705241"/>
    <s v="119278"/>
    <m/>
    <m/>
    <m/>
    <s v="5.5"/>
    <n v="479"/>
    <s v="NORTEAMERICA"/>
    <s v="OPEN TOP"/>
    <s v="CHAMONATE SPA"/>
    <s v="MSC"/>
    <s v="070ISA1237975"/>
    <s v="MEDUW9426786"/>
    <n v="46171"/>
    <m/>
    <s v="OPB SERVICIOS INTEGRALES SPA"/>
    <n v="46167"/>
    <d v="2026-05-31T00:00:00"/>
    <d v="2026-06-24T00:00:00"/>
    <x v="4"/>
  </r>
  <r>
    <s v="2025-2026"/>
    <n v="20550"/>
    <x v="4"/>
    <x v="4"/>
    <n v="22"/>
    <n v="5"/>
    <d v="2026-06-24T00:00:00"/>
    <s v="SAG"/>
    <s v="ALMAHUE EXPORT SPA"/>
    <s v="NAP"/>
    <n v="11"/>
    <s v="NORTH AMERICAN PRODUCE BUYERS LTD"/>
    <n v="346"/>
    <s v="18.568.294-3"/>
    <s v="PABLO OTAIZA"/>
    <s v="SSBS90"/>
    <m/>
    <s v="FX41705241"/>
    <m/>
    <s v="Z120028188"/>
    <s v="Z120028188"/>
    <s v="119278"/>
    <s v="NARANJAS"/>
    <s v="OC15OT10"/>
    <s v="CANADA"/>
    <n v="15"/>
    <s v="CAT-1"/>
    <s v="CAT-1"/>
    <s v="EXPORTACION"/>
    <s v="50"/>
    <n v="60"/>
    <n v="900"/>
    <n v="10"/>
    <m/>
    <m/>
    <m/>
    <s v="13583"/>
    <m/>
    <s v="VALPARAISO"/>
    <s v="MARITIMO"/>
    <s v="TORONTO"/>
    <m/>
    <m/>
    <m/>
    <m/>
    <m/>
    <m/>
    <s v="MSC RAYSHMI"/>
    <s v="TEMU9136950"/>
    <m/>
    <s v="CANADA  "/>
    <d v="2026-05-31T00:00:00"/>
    <s v="15.0"/>
    <n v="449"/>
    <m/>
    <m/>
    <m/>
    <s v="119278"/>
    <n v="19"/>
    <s v="91406"/>
    <m/>
    <s v="OPB SERVICIOS INTEGRALES SPA"/>
    <s v="FX41705241"/>
    <s v="119278"/>
    <m/>
    <m/>
    <m/>
    <s v="5.5"/>
    <n v="479"/>
    <s v="NORTEAMERICA"/>
    <s v="OPEN TOP"/>
    <s v="CHAMONATE SPA"/>
    <s v="MSC"/>
    <s v="070ISA1237975"/>
    <s v="MEDUW9426786"/>
    <n v="46171"/>
    <m/>
    <s v="OPB SERVICIOS INTEGRALES SPA"/>
    <n v="46167"/>
    <d v="2026-05-31T00:00:00"/>
    <d v="2026-06-24T00:00:00"/>
    <x v="4"/>
  </r>
  <r>
    <s v="2025-2026"/>
    <n v="20551"/>
    <x v="4"/>
    <x v="4"/>
    <n v="22"/>
    <n v="5"/>
    <d v="2026-06-24T00:00:00"/>
    <s v="SAG"/>
    <s v="ALMAHUE EXPORT SPA"/>
    <s v="NAP"/>
    <n v="11"/>
    <s v="NORTH AMERICAN PRODUCE BUYERS LTD"/>
    <n v="346"/>
    <s v="18.568.294-3"/>
    <s v="PABLO OTAIZA"/>
    <s v="SSBS90"/>
    <m/>
    <s v="FX41705241"/>
    <m/>
    <s v="Z120028190"/>
    <s v="Z120028190"/>
    <s v="119278"/>
    <s v="NARANJAS"/>
    <s v="OC15OT10"/>
    <s v="CANADA"/>
    <n v="15"/>
    <s v="CAT-1"/>
    <s v="CAT-1"/>
    <s v="EXPORTACION"/>
    <s v="40"/>
    <n v="60"/>
    <n v="900"/>
    <n v="10"/>
    <m/>
    <m/>
    <m/>
    <s v="13583"/>
    <m/>
    <s v="VALPARAISO"/>
    <s v="MARITIMO"/>
    <s v="TORONTO"/>
    <m/>
    <m/>
    <m/>
    <m/>
    <m/>
    <m/>
    <s v="MSC RAYSHMI"/>
    <s v="TEMU9136950"/>
    <m/>
    <s v="CANADA  "/>
    <d v="2026-05-31T00:00:00"/>
    <s v="15.0"/>
    <n v="449"/>
    <m/>
    <m/>
    <m/>
    <s v="119278"/>
    <n v="19"/>
    <s v="91406"/>
    <m/>
    <s v="OPB SERVICIOS INTEGRALES SPA"/>
    <s v="FX41705241"/>
    <s v="119278"/>
    <m/>
    <m/>
    <m/>
    <s v="5.5"/>
    <n v="479"/>
    <s v="NORTEAMERICA"/>
    <s v="OPEN TOP"/>
    <s v="CHAMONATE SPA"/>
    <s v="MSC"/>
    <s v="070ISA1237975"/>
    <s v="MEDUW9426786"/>
    <n v="46171"/>
    <m/>
    <s v="OPB SERVICIOS INTEGRALES SPA"/>
    <n v="46167"/>
    <d v="2026-05-31T00:00:00"/>
    <d v="2026-06-24T00:00:00"/>
    <x v="4"/>
  </r>
  <r>
    <s v="2025-2026"/>
    <n v="20552"/>
    <x v="4"/>
    <x v="4"/>
    <n v="22"/>
    <n v="5"/>
    <d v="2026-06-24T00:00:00"/>
    <s v="SAG"/>
    <s v="ALMAHUE EXPORT SPA"/>
    <s v="NAP"/>
    <n v="11"/>
    <s v="NORTH AMERICAN PRODUCE BUYERS LTD"/>
    <n v="346"/>
    <s v="18.568.294-3"/>
    <s v="PABLO OTAIZA"/>
    <s v="SSBS90"/>
    <m/>
    <s v="FX41705241"/>
    <m/>
    <s v="Z120028191"/>
    <s v="Z120028191"/>
    <s v="119278"/>
    <s v="NARANJAS"/>
    <s v="OC15OT10"/>
    <s v="CANADA"/>
    <n v="15"/>
    <s v="CAT-1"/>
    <s v="CAT-1"/>
    <s v="EXPORTACION"/>
    <s v="50"/>
    <n v="60"/>
    <n v="900"/>
    <n v="10"/>
    <m/>
    <m/>
    <m/>
    <s v="13583"/>
    <m/>
    <s v="VALPARAISO"/>
    <s v="MARITIMO"/>
    <s v="TORONTO"/>
    <m/>
    <m/>
    <m/>
    <m/>
    <m/>
    <m/>
    <s v="MSC RAYSHMI"/>
    <s v="TEMU9136950"/>
    <m/>
    <s v="CANADA  "/>
    <d v="2026-05-31T00:00:00"/>
    <s v="15.0"/>
    <n v="449"/>
    <m/>
    <m/>
    <m/>
    <s v="119278"/>
    <n v="19"/>
    <s v="91406"/>
    <m/>
    <s v="OPB SERVICIOS INTEGRALES SPA"/>
    <s v="FX41705241"/>
    <s v="119278"/>
    <m/>
    <m/>
    <m/>
    <s v="5.5"/>
    <n v="479"/>
    <s v="NORTEAMERICA"/>
    <s v="OPEN TOP"/>
    <s v="CHAMONATE SPA"/>
    <s v="MSC"/>
    <s v="070ISA1237975"/>
    <s v="MEDUW9426786"/>
    <n v="46171"/>
    <m/>
    <s v="OPB SERVICIOS INTEGRALES SPA"/>
    <n v="46167"/>
    <d v="2026-05-31T00:00:00"/>
    <d v="2026-06-24T00:00:00"/>
    <x v="4"/>
  </r>
  <r>
    <s v="2025-2026"/>
    <n v="20553"/>
    <x v="4"/>
    <x v="4"/>
    <n v="22"/>
    <n v="5"/>
    <d v="2026-06-24T00:00:00"/>
    <s v="SAG"/>
    <s v="ALMAHUE EXPORT SPA"/>
    <s v="NAP"/>
    <n v="11"/>
    <s v="NORTH AMERICAN PRODUCE BUYERS LTD"/>
    <n v="346"/>
    <s v="18.568.294-3"/>
    <s v="PABLO OTAIZA"/>
    <s v="SSBS90"/>
    <m/>
    <s v="FX41705241"/>
    <m/>
    <s v="Z120028194"/>
    <s v="Z120028194"/>
    <s v="119278"/>
    <s v="NARANJAS"/>
    <s v="OC15OT10"/>
    <s v="CANADA"/>
    <n v="15"/>
    <s v="CAT-1"/>
    <s v="CAT-1"/>
    <s v="EXPORTACION"/>
    <s v="50"/>
    <n v="60"/>
    <n v="900"/>
    <n v="10"/>
    <m/>
    <m/>
    <m/>
    <s v="13583"/>
    <m/>
    <s v="VALPARAISO"/>
    <s v="MARITIMO"/>
    <s v="TORONTO"/>
    <m/>
    <m/>
    <m/>
    <m/>
    <m/>
    <m/>
    <s v="MSC RAYSHMI"/>
    <s v="TEMU9136950"/>
    <m/>
    <s v="CANADA  "/>
    <d v="2026-05-31T00:00:00"/>
    <s v="15.0"/>
    <n v="449"/>
    <m/>
    <m/>
    <m/>
    <s v="119278"/>
    <n v="19"/>
    <s v="91406"/>
    <m/>
    <s v="OPB SERVICIOS INTEGRALES SPA"/>
    <s v="FX41705241"/>
    <s v="119278"/>
    <m/>
    <m/>
    <m/>
    <s v="5.5"/>
    <n v="479"/>
    <s v="NORTEAMERICA"/>
    <s v="OPEN TOP"/>
    <s v="CHAMONATE SPA"/>
    <s v="MSC"/>
    <s v="070ISA1237975"/>
    <s v="MEDUW9426786"/>
    <n v="46171"/>
    <m/>
    <s v="OPB SERVICIOS INTEGRALES SPA"/>
    <n v="46167"/>
    <d v="2026-05-31T00:00:00"/>
    <d v="2026-06-24T00:00:00"/>
    <x v="4"/>
  </r>
  <r>
    <s v="2025-2026"/>
    <n v="20554"/>
    <x v="4"/>
    <x v="4"/>
    <n v="22"/>
    <n v="5"/>
    <d v="2026-06-24T00:00:00"/>
    <s v="SAG"/>
    <s v="ALMAHUE EXPORT SPA"/>
    <s v="NAP"/>
    <n v="11"/>
    <s v="NORTH AMERICAN PRODUCE BUYERS LTD"/>
    <n v="346"/>
    <s v="18.568.294-3"/>
    <s v="PABLO OTAIZA"/>
    <s v="SSBS90"/>
    <m/>
    <s v="FX41705241"/>
    <m/>
    <s v="Z120028197"/>
    <s v="Z120028197"/>
    <s v="119278"/>
    <s v="NARANJAS"/>
    <s v="OC15OT10"/>
    <s v="CANADA"/>
    <n v="15"/>
    <s v="CAT-1"/>
    <s v="CAT-1"/>
    <s v="EXPORTACION"/>
    <s v="50"/>
    <n v="60"/>
    <n v="900"/>
    <n v="10"/>
    <m/>
    <m/>
    <m/>
    <s v="13583"/>
    <m/>
    <s v="VALPARAISO"/>
    <s v="MARITIMO"/>
    <s v="TORONTO"/>
    <m/>
    <m/>
    <m/>
    <m/>
    <m/>
    <m/>
    <s v="MSC RAYSHMI"/>
    <s v="TEMU9136950"/>
    <m/>
    <s v="CANADA  "/>
    <d v="2026-05-31T00:00:00"/>
    <s v="15.0"/>
    <n v="449"/>
    <m/>
    <m/>
    <m/>
    <s v="119278"/>
    <n v="19"/>
    <s v="91406"/>
    <m/>
    <s v="OPB SERVICIOS INTEGRALES SPA"/>
    <s v="FX41705241"/>
    <s v="119278"/>
    <m/>
    <m/>
    <m/>
    <s v="5.5"/>
    <n v="479"/>
    <s v="NORTEAMERICA"/>
    <s v="OPEN TOP"/>
    <s v="CHAMONATE SPA"/>
    <s v="MSC"/>
    <s v="070ISA1237975"/>
    <s v="MEDUW9426786"/>
    <n v="46171"/>
    <m/>
    <s v="OPB SERVICIOS INTEGRALES SPA"/>
    <n v="46167"/>
    <d v="2026-05-31T00:00:00"/>
    <d v="2026-06-24T00:00:00"/>
    <x v="4"/>
  </r>
  <r>
    <s v="2025-2026"/>
    <n v="20555"/>
    <x v="4"/>
    <x v="4"/>
    <n v="22"/>
    <n v="5"/>
    <d v="2026-06-24T00:00:00"/>
    <s v="SAG"/>
    <s v="ALMAHUE EXPORT SPA"/>
    <s v="NAP"/>
    <n v="11"/>
    <s v="NORTH AMERICAN PRODUCE BUYERS LTD"/>
    <n v="346"/>
    <s v="18.568.294-3"/>
    <s v="PABLO OTAIZA"/>
    <s v="SSBS90"/>
    <m/>
    <s v="FX41705241"/>
    <m/>
    <s v="Z120030901"/>
    <s v="Z120030901"/>
    <s v="119278"/>
    <s v="NARANJAS"/>
    <s v="OC15OT10"/>
    <s v="CANADA"/>
    <n v="15"/>
    <s v="CAT-1"/>
    <s v="CAT-1"/>
    <s v="EXPORTACION"/>
    <s v="50"/>
    <n v="60"/>
    <n v="900"/>
    <n v="10"/>
    <m/>
    <m/>
    <m/>
    <s v="13583"/>
    <m/>
    <s v="VALPARAISO"/>
    <s v="MARITIMO"/>
    <s v="TORONTO"/>
    <m/>
    <m/>
    <m/>
    <m/>
    <m/>
    <m/>
    <s v="MSC RAYSHMI"/>
    <s v="TEMU9136950"/>
    <m/>
    <s v="CANADA  "/>
    <d v="2026-05-31T00:00:00"/>
    <s v="15.0"/>
    <n v="449"/>
    <m/>
    <m/>
    <m/>
    <s v="119278"/>
    <n v="19"/>
    <s v="91406"/>
    <m/>
    <s v="OPB SERVICIOS INTEGRALES SPA"/>
    <s v="FX41705241"/>
    <s v="119278"/>
    <m/>
    <m/>
    <m/>
    <s v="5.5"/>
    <n v="479"/>
    <s v="NORTEAMERICA"/>
    <s v="OPEN TOP"/>
    <s v="CHAMONATE SPA"/>
    <s v="MSC"/>
    <s v="070ISA1237975"/>
    <s v="MEDUW9426786"/>
    <n v="46171"/>
    <m/>
    <s v="OPB SERVICIOS INTEGRALES SPA"/>
    <n v="46167"/>
    <d v="2026-05-31T00:00:00"/>
    <d v="2026-06-24T00:00:00"/>
    <x v="4"/>
  </r>
  <r>
    <s v="2025-2026"/>
    <n v="20556"/>
    <x v="4"/>
    <x v="4"/>
    <n v="22"/>
    <n v="5"/>
    <d v="2026-06-24T00:00:00"/>
    <s v="SAG"/>
    <s v="ALMAHUE EXPORT SPA"/>
    <s v="NAP"/>
    <n v="11"/>
    <s v="NORTH AMERICAN PRODUCE BUYERS LTD"/>
    <n v="346"/>
    <s v="18.568.294-3"/>
    <s v="PABLO OTAIZA"/>
    <s v="SSBS90"/>
    <m/>
    <s v="FX41705241"/>
    <m/>
    <s v="Z120030903"/>
    <s v="Z120030903"/>
    <s v="119278"/>
    <s v="NARANJAS"/>
    <s v="OC15OT10"/>
    <s v="CANADA"/>
    <n v="15"/>
    <s v="CAT-1"/>
    <s v="CAT-1"/>
    <s v="EXPORTACION"/>
    <s v="40"/>
    <n v="60"/>
    <n v="900"/>
    <n v="10"/>
    <m/>
    <m/>
    <m/>
    <s v="13583"/>
    <m/>
    <s v="VALPARAISO"/>
    <s v="MARITIMO"/>
    <s v="TORONTO"/>
    <m/>
    <m/>
    <m/>
    <m/>
    <m/>
    <m/>
    <s v="MSC RAYSHMI"/>
    <s v="TEMU9136950"/>
    <m/>
    <s v="CANADA  "/>
    <d v="2026-05-31T00:00:00"/>
    <s v="15.0"/>
    <n v="449"/>
    <m/>
    <m/>
    <m/>
    <s v="119278"/>
    <n v="19"/>
    <s v="91406"/>
    <m/>
    <s v="OPB SERVICIOS INTEGRALES SPA"/>
    <s v="FX41705241"/>
    <s v="119278"/>
    <m/>
    <m/>
    <m/>
    <s v="5.5"/>
    <n v="479"/>
    <s v="NORTEAMERICA"/>
    <s v="OPEN TOP"/>
    <s v="CHAMONATE SPA"/>
    <s v="MSC"/>
    <s v="070ISA1237975"/>
    <s v="MEDUW9426786"/>
    <n v="46171"/>
    <m/>
    <s v="OPB SERVICIOS INTEGRALES SPA"/>
    <n v="46167"/>
    <d v="2026-05-31T00:00:00"/>
    <d v="2026-06-24T00:00:00"/>
    <x v="4"/>
  </r>
  <r>
    <s v="2025-2026"/>
    <n v="20557"/>
    <x v="4"/>
    <x v="4"/>
    <n v="22"/>
    <n v="5"/>
    <d v="2026-06-24T00:00:00"/>
    <s v="SAG"/>
    <s v="ALMAHUE EXPORT SPA"/>
    <s v="NAP"/>
    <n v="11"/>
    <s v="NORTH AMERICAN PRODUCE BUYERS LTD"/>
    <n v="346"/>
    <s v="18.568.294-3"/>
    <s v="PABLO OTAIZA"/>
    <s v="SSBS90"/>
    <m/>
    <s v="FX41705241"/>
    <m/>
    <s v="Z120030904"/>
    <s v="Z120030904"/>
    <s v="119278"/>
    <s v="NARANJAS"/>
    <s v="OC15OT10"/>
    <s v="CANADA"/>
    <n v="15"/>
    <s v="CAT-1"/>
    <s v="CAT-1"/>
    <s v="EXPORTACION"/>
    <s v="50"/>
    <n v="60"/>
    <n v="900"/>
    <n v="10"/>
    <m/>
    <m/>
    <m/>
    <s v="13583"/>
    <m/>
    <s v="VALPARAISO"/>
    <s v="MARITIMO"/>
    <s v="TORONTO"/>
    <m/>
    <m/>
    <m/>
    <m/>
    <m/>
    <m/>
    <s v="MSC RAYSHMI"/>
    <s v="TEMU9136950"/>
    <m/>
    <s v="CANADA  "/>
    <d v="2026-05-31T00:00:00"/>
    <s v="15.0"/>
    <n v="449"/>
    <m/>
    <m/>
    <m/>
    <s v="119278"/>
    <n v="19"/>
    <s v="91406"/>
    <m/>
    <s v="OPB SERVICIOS INTEGRALES SPA"/>
    <s v="FX41705241"/>
    <s v="119278"/>
    <m/>
    <m/>
    <m/>
    <s v="5.5"/>
    <n v="479"/>
    <s v="NORTEAMERICA"/>
    <s v="OPEN TOP"/>
    <s v="CHAMONATE SPA"/>
    <s v="MSC"/>
    <s v="070ISA1237975"/>
    <s v="MEDUW9426786"/>
    <n v="46171"/>
    <m/>
    <s v="OPB SERVICIOS INTEGRALES SPA"/>
    <n v="46167"/>
    <d v="2026-05-31T00:00:00"/>
    <d v="2026-06-24T00:00:00"/>
    <x v="4"/>
  </r>
  <r>
    <s v="2025-2026"/>
    <n v="20558"/>
    <x v="4"/>
    <x v="4"/>
    <n v="22"/>
    <n v="5"/>
    <d v="2026-06-24T00:00:00"/>
    <s v="SAG"/>
    <s v="ALMAHUE EXPORT SPA"/>
    <s v="NAP"/>
    <n v="11"/>
    <s v="NORTH AMERICAN PRODUCE BUYERS LTD"/>
    <n v="346"/>
    <s v="18.568.294-3"/>
    <s v="PABLO OTAIZA"/>
    <s v="SSBS90"/>
    <m/>
    <s v="FX41705241"/>
    <m/>
    <s v="Z120030905"/>
    <s v="Z120030905"/>
    <s v="119278"/>
    <s v="NARANJAS"/>
    <s v="OC15OT10"/>
    <s v="CANADA"/>
    <n v="15"/>
    <s v="CAT-1"/>
    <s v="CAT-1"/>
    <s v="EXPORTACION"/>
    <s v="50"/>
    <n v="60"/>
    <n v="900"/>
    <n v="10"/>
    <m/>
    <m/>
    <m/>
    <s v="13583"/>
    <m/>
    <s v="VALPARAISO"/>
    <s v="MARITIMO"/>
    <s v="TORONTO"/>
    <m/>
    <m/>
    <m/>
    <m/>
    <m/>
    <m/>
    <s v="MSC RAYSHMI"/>
    <s v="TEMU9136950"/>
    <m/>
    <s v="CANADA  "/>
    <d v="2026-05-31T00:00:00"/>
    <s v="15.0"/>
    <n v="449"/>
    <m/>
    <m/>
    <m/>
    <s v="119278"/>
    <n v="19"/>
    <s v="91406"/>
    <m/>
    <s v="OPB SERVICIOS INTEGRALES SPA"/>
    <s v="FX41705241"/>
    <s v="119278"/>
    <m/>
    <m/>
    <m/>
    <s v="5.5"/>
    <n v="479"/>
    <s v="NORTEAMERICA"/>
    <s v="OPEN TOP"/>
    <s v="CHAMONATE SPA"/>
    <s v="MSC"/>
    <s v="070ISA1237975"/>
    <s v="MEDUW9426786"/>
    <n v="46171"/>
    <m/>
    <s v="OPB SERVICIOS INTEGRALES SPA"/>
    <n v="46167"/>
    <d v="2026-05-31T00:00:00"/>
    <d v="2026-06-24T00:00:00"/>
    <x v="4"/>
  </r>
  <r>
    <s v="2025-2026"/>
    <n v="20559"/>
    <x v="4"/>
    <x v="4"/>
    <n v="22"/>
    <n v="5"/>
    <d v="2026-06-24T00:00:00"/>
    <s v="SAG"/>
    <s v="ALMAHUE EXPORT SPA"/>
    <s v="NAP"/>
    <n v="11"/>
    <s v="NORTH AMERICAN PRODUCE BUYERS LTD"/>
    <n v="346"/>
    <s v="18.568.294-3"/>
    <s v="PABLO OTAIZA"/>
    <s v="SSBS90"/>
    <m/>
    <s v="FX41705241"/>
    <m/>
    <s v="Z120030909"/>
    <s v="Z120030909"/>
    <s v="119278"/>
    <s v="NARANJAS"/>
    <s v="OC15OT10"/>
    <s v="CANADA"/>
    <n v="15"/>
    <s v="CAT-1"/>
    <s v="CAT-1"/>
    <s v="EXPORTACION"/>
    <s v="50"/>
    <n v="60"/>
    <n v="900"/>
    <n v="10"/>
    <m/>
    <m/>
    <m/>
    <s v="13583"/>
    <m/>
    <s v="VALPARAISO"/>
    <s v="MARITIMO"/>
    <s v="TORONTO"/>
    <m/>
    <m/>
    <m/>
    <m/>
    <m/>
    <m/>
    <s v="MSC RAYSHMI"/>
    <s v="TEMU9136950"/>
    <m/>
    <s v="CANADA  "/>
    <d v="2026-05-31T00:00:00"/>
    <s v="15.0"/>
    <n v="449"/>
    <m/>
    <m/>
    <m/>
    <s v="119278"/>
    <n v="19"/>
    <s v="91406"/>
    <m/>
    <s v="OPB SERVICIOS INTEGRALES SPA"/>
    <s v="FX41705241"/>
    <s v="119278"/>
    <m/>
    <m/>
    <m/>
    <s v="5.5"/>
    <n v="479"/>
    <s v="NORTEAMERICA"/>
    <s v="OPEN TOP"/>
    <s v="CHAMONATE SPA"/>
    <s v="MSC"/>
    <s v="070ISA1237975"/>
    <s v="MEDUW9426786"/>
    <n v="46171"/>
    <m/>
    <s v="OPB SERVICIOS INTEGRALES SPA"/>
    <n v="46167"/>
    <d v="2026-05-31T00:00:00"/>
    <d v="2026-06-24T00:00:00"/>
    <x v="4"/>
  </r>
  <r>
    <s v="2025-2026"/>
    <n v="20560"/>
    <x v="4"/>
    <x v="4"/>
    <n v="22"/>
    <n v="5"/>
    <d v="2026-06-24T00:00:00"/>
    <s v="SAG"/>
    <s v="ALMAHUE EXPORT SPA"/>
    <s v="NAP"/>
    <n v="11"/>
    <s v="NORTH AMERICAN PRODUCE BUYERS LTD"/>
    <n v="346"/>
    <s v="18.568.294-3"/>
    <s v="PABLO OTAIZA"/>
    <s v="SSBS90"/>
    <m/>
    <s v="FX41705241"/>
    <m/>
    <s v="Z120030913"/>
    <s v="Z120030913"/>
    <s v="119278"/>
    <s v="NARANJAS"/>
    <s v="OC15OT10"/>
    <s v="CANADA"/>
    <n v="15"/>
    <s v="CAT-1"/>
    <s v="CAT-1"/>
    <s v="EXPORTACION"/>
    <s v="50"/>
    <n v="60"/>
    <n v="900"/>
    <n v="10"/>
    <m/>
    <m/>
    <m/>
    <s v="13583"/>
    <m/>
    <s v="VALPARAISO"/>
    <s v="MARITIMO"/>
    <s v="TORONTO"/>
    <m/>
    <m/>
    <m/>
    <m/>
    <m/>
    <m/>
    <s v="MSC RAYSHMI"/>
    <s v="TEMU9136950"/>
    <m/>
    <s v="CANADA  "/>
    <d v="2026-05-31T00:00:00"/>
    <s v="15.0"/>
    <n v="449"/>
    <m/>
    <m/>
    <m/>
    <s v="119278"/>
    <n v="19"/>
    <s v="91406"/>
    <m/>
    <s v="OPB SERVICIOS INTEGRALES SPA"/>
    <s v="FX41705241"/>
    <s v="119278"/>
    <m/>
    <m/>
    <m/>
    <s v="5.5"/>
    <n v="479"/>
    <s v="NORTEAMERICA"/>
    <s v="OPEN TOP"/>
    <s v="CHAMONATE SPA"/>
    <s v="MSC"/>
    <s v="070ISA1237975"/>
    <s v="MEDUW9426786"/>
    <n v="46171"/>
    <m/>
    <s v="OPB SERVICIOS INTEGRALES SPA"/>
    <n v="46167"/>
    <d v="2026-05-31T00:00:00"/>
    <d v="2026-06-24T00:00:00"/>
    <x v="4"/>
  </r>
  <r>
    <s v="2025-2026"/>
    <n v="20561"/>
    <x v="4"/>
    <x v="4"/>
    <n v="22"/>
    <n v="5"/>
    <d v="2026-06-24T00:00:00"/>
    <s v="SAG"/>
    <s v="ALMAHUE EXPORT SPA"/>
    <s v="NAP"/>
    <n v="11"/>
    <s v="NORTH AMERICAN PRODUCE BUYERS LTD"/>
    <n v="346"/>
    <s v="18.568.294-3"/>
    <s v="PABLO OTAIZA"/>
    <s v="SSBS90"/>
    <m/>
    <s v="FX41705241"/>
    <m/>
    <s v="Z120030917"/>
    <s v="Z120030917"/>
    <s v="119278"/>
    <s v="NARANJAS"/>
    <s v="OC15OT10"/>
    <s v="CANADA"/>
    <n v="15"/>
    <s v="CAT-1"/>
    <s v="CAT-1"/>
    <s v="EXPORTACION"/>
    <s v="50"/>
    <n v="41"/>
    <n v="615"/>
    <n v="10"/>
    <m/>
    <m/>
    <m/>
    <s v="13583"/>
    <m/>
    <s v="VALPARAISO"/>
    <s v="MARITIMO"/>
    <s v="TORONTO"/>
    <m/>
    <m/>
    <m/>
    <m/>
    <m/>
    <m/>
    <s v="MSC RAYSHMI"/>
    <s v="TEMU9136950"/>
    <m/>
    <s v="CANADA  "/>
    <d v="2026-05-31T00:00:00"/>
    <s v="15.0"/>
    <n v="449"/>
    <m/>
    <m/>
    <m/>
    <s v="119278"/>
    <n v="19"/>
    <s v="91406"/>
    <m/>
    <s v="OPB SERVICIOS INTEGRALES SPA"/>
    <s v="FX41705241"/>
    <s v="119278"/>
    <m/>
    <m/>
    <m/>
    <s v="5.5"/>
    <n v="479"/>
    <s v="NORTEAMERICA"/>
    <s v="OPEN TOP"/>
    <s v="CHAMONATE SPA"/>
    <s v="MSC"/>
    <s v="070ISA1237975"/>
    <s v="MEDUW9426786"/>
    <n v="46171"/>
    <m/>
    <s v="OPB SERVICIOS INTEGRALES SPA"/>
    <n v="46167"/>
    <d v="2026-05-31T00:00:00"/>
    <d v="2026-06-24T00:00:00"/>
    <x v="4"/>
  </r>
  <r>
    <s v="2025-2026"/>
    <n v="20562"/>
    <x v="4"/>
    <x v="4"/>
    <n v="22"/>
    <n v="5"/>
    <d v="2026-06-24T00:00:00"/>
    <s v="SAG"/>
    <s v="ALMAHUE EXPORT SPA"/>
    <s v="NAP"/>
    <n v="11"/>
    <s v="NORTH AMERICAN PRODUCE BUYERS LTD"/>
    <n v="346"/>
    <s v="18.568.294-3"/>
    <s v="PABLO OTAIZA"/>
    <s v="SSBS90"/>
    <m/>
    <s v="FX41705241"/>
    <m/>
    <s v="Z120030917"/>
    <s v="Z120030917"/>
    <s v="119278"/>
    <s v="NARANJAS"/>
    <s v="OC15OT10"/>
    <s v="CANADA"/>
    <n v="15"/>
    <s v="CAT-1"/>
    <s v="CAT-1"/>
    <s v="EXPORTACION"/>
    <s v="50"/>
    <n v="19"/>
    <n v="285"/>
    <n v="10"/>
    <m/>
    <m/>
    <m/>
    <s v="13583"/>
    <m/>
    <s v="VALPARAISO"/>
    <s v="MARITIMO"/>
    <s v="TORONTO"/>
    <m/>
    <m/>
    <m/>
    <m/>
    <m/>
    <m/>
    <s v="MSC RAYSHMI"/>
    <s v="TEMU9136950"/>
    <m/>
    <s v="CANADA  "/>
    <d v="2026-05-31T00:00:00"/>
    <s v="15.0"/>
    <n v="449"/>
    <m/>
    <m/>
    <m/>
    <s v="119278"/>
    <n v="19"/>
    <s v="91406"/>
    <m/>
    <s v="OPB SERVICIOS INTEGRALES SPA"/>
    <s v="FX41705241"/>
    <s v="119278"/>
    <m/>
    <m/>
    <m/>
    <s v="5.5"/>
    <n v="479"/>
    <s v="NORTEAMERICA"/>
    <s v="OPEN TOP"/>
    <s v="CHAMONATE SPA"/>
    <s v="MSC"/>
    <s v="070ISA1237975"/>
    <s v="MEDUW9426786"/>
    <n v="46171"/>
    <m/>
    <s v="OPB SERVICIOS INTEGRALES SPA"/>
    <n v="46167"/>
    <d v="2026-05-31T00:00:00"/>
    <d v="2026-06-24T00:00:00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2DDD73-8449-4F16-A602-72C07A4324C1}" name="TablaDinámica19" cacheId="2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gridDropZones="1" multipleFieldFilters="0">
  <location ref="A3:C10" firstHeaderRow="2" firstDataRow="2" firstDataCol="2" rowPageCount="1" colPageCount="1"/>
  <pivotFields count="82">
    <pivotField compact="0" outline="0" showAll="0"/>
    <pivotField compact="0" outline="0" showAll="0"/>
    <pivotField axis="axisRow" compact="0" outline="0" showAll="0" defaultSubtotal="0">
      <items count="434">
        <item m="1" x="8"/>
        <item m="1" x="11"/>
        <item m="1" x="12"/>
        <item m="1" x="10"/>
        <item m="1" x="9"/>
        <item m="1" x="13"/>
        <item m="1" x="19"/>
        <item m="1" x="5"/>
        <item m="1" x="6"/>
        <item m="1" x="7"/>
        <item m="1" x="14"/>
        <item m="1" x="18"/>
        <item m="1" x="15"/>
        <item m="1" x="16"/>
        <item m="1" x="17"/>
        <item m="1" x="20"/>
        <item m="1" x="21"/>
        <item m="1" x="22"/>
        <item m="1" x="23"/>
        <item m="1" x="24"/>
        <item m="1" x="27"/>
        <item m="1" x="29"/>
        <item m="1" x="32"/>
        <item m="1" x="25"/>
        <item m="1" x="26"/>
        <item m="1" x="30"/>
        <item m="1" x="28"/>
        <item m="1" x="31"/>
        <item m="1" x="36"/>
        <item m="1" x="33"/>
        <item m="1" x="38"/>
        <item m="1" x="34"/>
        <item m="1" x="35"/>
        <item m="1" x="37"/>
        <item m="1" x="39"/>
        <item m="1" x="46"/>
        <item m="1" x="41"/>
        <item m="1" x="48"/>
        <item m="1" x="40"/>
        <item m="1" x="45"/>
        <item m="1" x="43"/>
        <item m="1" x="44"/>
        <item m="1" x="42"/>
        <item m="1" x="47"/>
        <item m="1" x="49"/>
        <item m="1" x="50"/>
        <item m="1" x="51"/>
        <item m="1" x="52"/>
        <item m="1" x="54"/>
        <item m="1" x="53"/>
        <item m="1" x="56"/>
        <item m="1" x="60"/>
        <item m="1" x="63"/>
        <item m="1" x="55"/>
        <item m="1" x="64"/>
        <item m="1" x="62"/>
        <item m="1" x="57"/>
        <item m="1" x="61"/>
        <item m="1" x="71"/>
        <item m="1" x="58"/>
        <item m="1" x="59"/>
        <item m="1" x="72"/>
        <item m="1" x="73"/>
        <item m="1" x="74"/>
        <item m="1" x="66"/>
        <item m="1" x="75"/>
        <item m="1" x="65"/>
        <item m="1" x="80"/>
        <item m="1" x="70"/>
        <item m="1" x="77"/>
        <item m="1" x="78"/>
        <item m="1" x="86"/>
        <item m="1" x="67"/>
        <item m="1" x="81"/>
        <item m="1" x="68"/>
        <item m="1" x="82"/>
        <item m="1" x="83"/>
        <item m="1" x="79"/>
        <item m="1" x="93"/>
        <item m="1" x="84"/>
        <item m="1" x="76"/>
        <item m="1" x="85"/>
        <item m="1" x="91"/>
        <item m="1" x="92"/>
        <item m="1" x="69"/>
        <item m="1" x="94"/>
        <item m="1" x="95"/>
        <item m="1" x="96"/>
        <item m="1" x="97"/>
        <item m="1" x="103"/>
        <item m="1" x="104"/>
        <item m="1" x="105"/>
        <item m="1" x="106"/>
        <item m="1" x="119"/>
        <item m="1" x="87"/>
        <item m="1" x="88"/>
        <item m="1" x="107"/>
        <item m="1" x="98"/>
        <item m="1" x="90"/>
        <item m="1" x="115"/>
        <item m="1" x="99"/>
        <item m="1" x="108"/>
        <item m="1" x="100"/>
        <item m="1" x="109"/>
        <item m="1" x="110"/>
        <item m="1" x="111"/>
        <item m="1" x="101"/>
        <item m="1" x="116"/>
        <item m="1" x="89"/>
        <item m="1" x="112"/>
        <item m="1" x="117"/>
        <item m="1" x="113"/>
        <item m="1" x="118"/>
        <item m="1" x="114"/>
        <item m="1" x="102"/>
        <item m="1" x="120"/>
        <item m="1" x="121"/>
        <item m="1" x="122"/>
        <item m="1" x="126"/>
        <item m="1" x="125"/>
        <item m="1" x="147"/>
        <item m="1" x="123"/>
        <item m="1" x="124"/>
        <item m="1" x="130"/>
        <item m="1" x="131"/>
        <item m="1" x="132"/>
        <item m="1" x="128"/>
        <item m="1" x="129"/>
        <item m="1" x="133"/>
        <item m="1" x="127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8"/>
        <item m="1" x="150"/>
        <item m="1" x="151"/>
        <item m="1" x="152"/>
        <item m="1" x="146"/>
        <item m="1" x="153"/>
        <item m="1" x="149"/>
        <item m="1" x="154"/>
        <item m="1" x="155"/>
        <item m="1" x="183"/>
        <item m="1" x="156"/>
        <item m="1" x="157"/>
        <item m="1" x="182"/>
        <item m="1" x="158"/>
        <item m="1" x="159"/>
        <item m="1" x="160"/>
        <item m="1" x="161"/>
        <item m="1" x="225"/>
        <item m="1" x="162"/>
        <item m="1" x="163"/>
        <item m="1" x="164"/>
        <item m="1" x="165"/>
        <item m="1" x="166"/>
        <item m="1" x="167"/>
        <item m="1" x="168"/>
        <item m="1" x="169"/>
        <item m="1" x="181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4"/>
        <item m="1" x="185"/>
        <item m="1" x="190"/>
        <item m="1" x="186"/>
        <item m="1" x="187"/>
        <item m="1" x="188"/>
        <item m="1" x="189"/>
        <item m="1" x="227"/>
        <item m="1" x="212"/>
        <item m="1" x="191"/>
        <item m="1" x="192"/>
        <item m="1" x="193"/>
        <item m="1" x="194"/>
        <item m="1" x="195"/>
        <item m="1" x="196"/>
        <item m="1" x="211"/>
        <item m="1" x="197"/>
        <item m="1" x="198"/>
        <item m="1" x="199"/>
        <item m="1" x="200"/>
        <item m="1" x="205"/>
        <item m="1" x="201"/>
        <item m="1" x="202"/>
        <item m="1" x="207"/>
        <item m="1" x="203"/>
        <item m="1" x="204"/>
        <item m="1" x="208"/>
        <item m="1" x="206"/>
        <item m="1" x="209"/>
        <item m="1" x="210"/>
        <item m="1" x="214"/>
        <item m="1" x="215"/>
        <item m="1" x="216"/>
        <item m="1" x="217"/>
        <item m="1" x="243"/>
        <item m="1" x="228"/>
        <item m="1" x="218"/>
        <item m="1" x="219"/>
        <item m="1" x="233"/>
        <item m="1" x="220"/>
        <item m="1" x="244"/>
        <item m="1" x="221"/>
        <item m="1" x="234"/>
        <item m="1" x="235"/>
        <item m="1" x="238"/>
        <item m="1" x="239"/>
        <item m="1" x="236"/>
        <item m="1" x="231"/>
        <item m="1" x="232"/>
        <item m="1" x="229"/>
        <item m="1" x="222"/>
        <item m="1" x="237"/>
        <item m="1" x="223"/>
        <item m="1" x="224"/>
        <item m="1" x="245"/>
        <item m="1" x="271"/>
        <item m="1" x="230"/>
        <item m="1" x="226"/>
        <item m="1" x="242"/>
        <item m="1" x="241"/>
        <item m="1" x="240"/>
        <item m="1" x="213"/>
        <item m="1" x="249"/>
        <item m="1" x="246"/>
        <item m="1" x="260"/>
        <item m="1" x="248"/>
        <item m="1" x="247"/>
        <item m="1" x="256"/>
        <item m="1" x="261"/>
        <item m="1" x="255"/>
        <item m="1" x="257"/>
        <item m="1" x="259"/>
        <item m="1" x="254"/>
        <item m="1" x="251"/>
        <item m="1" x="287"/>
        <item m="1" x="264"/>
        <item m="1" x="265"/>
        <item m="1" x="266"/>
        <item m="1" x="267"/>
        <item m="1" x="262"/>
        <item m="1" x="258"/>
        <item m="1" x="252"/>
        <item m="1" x="250"/>
        <item m="1" x="253"/>
        <item m="1" x="288"/>
        <item m="1" x="269"/>
        <item m="1" x="270"/>
        <item m="1" x="263"/>
        <item m="1" x="268"/>
        <item m="1" x="272"/>
        <item m="1" x="273"/>
        <item m="1" x="274"/>
        <item m="1" x="275"/>
        <item m="1" x="276"/>
        <item m="1" x="299"/>
        <item m="1" x="315"/>
        <item m="1" x="277"/>
        <item m="1" x="278"/>
        <item m="1" x="280"/>
        <item m="1" x="279"/>
        <item m="1" x="314"/>
        <item m="1" x="300"/>
        <item m="1" x="285"/>
        <item m="1" x="286"/>
        <item m="1" x="281"/>
        <item m="1" x="282"/>
        <item m="1" x="283"/>
        <item m="1" x="284"/>
        <item m="1" x="289"/>
        <item m="1" x="290"/>
        <item m="1" x="291"/>
        <item m="1" x="292"/>
        <item m="1" x="293"/>
        <item m="1" x="294"/>
        <item m="1" x="301"/>
        <item m="1" x="317"/>
        <item m="1" x="316"/>
        <item m="1" x="302"/>
        <item m="1" x="303"/>
        <item m="1" x="295"/>
        <item m="1" x="296"/>
        <item m="1" x="297"/>
        <item m="1" x="298"/>
        <item m="1" x="304"/>
        <item m="1" x="305"/>
        <item m="1" x="306"/>
        <item m="1" x="307"/>
        <item m="1" x="308"/>
        <item m="1" x="309"/>
        <item m="1" x="310"/>
        <item m="1" x="311"/>
        <item m="1" x="346"/>
        <item m="1" x="312"/>
        <item m="1" x="313"/>
        <item m="1" x="322"/>
        <item m="1" x="339"/>
        <item m="1" x="323"/>
        <item m="1" x="324"/>
        <item m="1" x="325"/>
        <item m="1" x="326"/>
        <item m="1" x="327"/>
        <item m="1" x="328"/>
        <item m="1" x="329"/>
        <item m="1" x="331"/>
        <item m="1" x="332"/>
        <item m="1" x="333"/>
        <item m="1" x="321"/>
        <item m="1" x="318"/>
        <item m="1" x="319"/>
        <item m="1" x="320"/>
        <item m="1" x="330"/>
        <item m="1" x="334"/>
        <item m="1" x="335"/>
        <item m="1" x="336"/>
        <item m="1" x="337"/>
        <item m="1" x="338"/>
        <item m="1" x="340"/>
        <item m="1" x="347"/>
        <item m="1" x="348"/>
        <item m="1" x="341"/>
        <item m="1" x="342"/>
        <item m="1" x="343"/>
        <item m="1" x="345"/>
        <item m="1" x="344"/>
        <item m="1" x="349"/>
        <item m="1" x="407"/>
        <item m="1" x="350"/>
        <item m="1" x="408"/>
        <item m="1" x="351"/>
        <item m="1" x="352"/>
        <item m="1" x="353"/>
        <item m="1" x="354"/>
        <item m="1" x="355"/>
        <item m="1" x="356"/>
        <item m="1" x="357"/>
        <item m="1" x="360"/>
        <item m="1" x="358"/>
        <item m="1" x="359"/>
        <item m="1" x="361"/>
        <item m="1" x="362"/>
        <item m="1" x="363"/>
        <item m="1" x="364"/>
        <item m="1" x="365"/>
        <item m="1" x="366"/>
        <item m="1" x="376"/>
        <item m="1" x="372"/>
        <item m="1" x="373"/>
        <item m="1" x="367"/>
        <item m="1" x="374"/>
        <item m="1" x="377"/>
        <item m="1" x="368"/>
        <item m="1" x="369"/>
        <item m="1" x="378"/>
        <item m="1" x="381"/>
        <item m="1" x="370"/>
        <item m="1" x="371"/>
        <item m="1" x="382"/>
        <item m="1" x="379"/>
        <item m="1" x="380"/>
        <item m="1" x="431"/>
        <item m="1" x="385"/>
        <item m="1" x="386"/>
        <item m="1" x="384"/>
        <item m="1" x="383"/>
        <item m="1" x="392"/>
        <item m="1" x="395"/>
        <item m="1" x="406"/>
        <item m="1" x="396"/>
        <item m="1" x="432"/>
        <item m="1" x="375"/>
        <item m="1" x="391"/>
        <item m="1" x="393"/>
        <item m="1" x="394"/>
        <item m="1" x="397"/>
        <item m="1" x="398"/>
        <item m="1" x="399"/>
        <item m="1" x="401"/>
        <item m="1" x="402"/>
        <item m="1" x="417"/>
        <item m="1" x="400"/>
        <item m="1" x="387"/>
        <item m="1" x="388"/>
        <item m="1" x="389"/>
        <item m="1" x="390"/>
        <item m="1" x="413"/>
        <item m="1" x="403"/>
        <item m="1" x="404"/>
        <item m="1" x="405"/>
        <item m="1" x="409"/>
        <item m="1" x="410"/>
        <item m="1" x="411"/>
        <item m="1" x="412"/>
        <item m="1" x="414"/>
        <item m="1" x="415"/>
        <item m="1" x="416"/>
        <item m="1" x="419"/>
        <item m="1" x="420"/>
        <item m="1" x="418"/>
        <item m="1" x="421"/>
        <item m="1" x="429"/>
        <item m="1" x="430"/>
        <item m="1" x="422"/>
        <item m="1" x="423"/>
        <item m="1" x="427"/>
        <item m="1" x="426"/>
        <item m="1" x="425"/>
        <item m="1" x="424"/>
        <item m="1" x="428"/>
        <item x="0"/>
        <item x="2"/>
        <item x="1"/>
        <item m="1" x="433"/>
        <item x="3"/>
        <item x="4"/>
      </items>
    </pivotField>
    <pivotField axis="axisPage" compact="0" numFmtId="14" outline="0" multipleItemSelectionAllowed="1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33">
        <item m="1" x="431"/>
        <item m="1" x="5"/>
        <item m="1" x="7"/>
        <item m="1" x="6"/>
        <item m="1" x="8"/>
        <item m="1" x="12"/>
        <item m="1" x="11"/>
        <item m="1" x="10"/>
        <item m="1" x="9"/>
        <item m="1" x="13"/>
        <item m="1" x="14"/>
        <item m="1" x="19"/>
        <item m="1" x="18"/>
        <item m="1" x="15"/>
        <item m="1" x="20"/>
        <item m="1" x="22"/>
        <item m="1" x="23"/>
        <item m="1" x="27"/>
        <item m="1" x="25"/>
        <item m="1" x="26"/>
        <item m="1" x="30"/>
        <item m="1" x="16"/>
        <item m="1" x="17"/>
        <item m="1" x="21"/>
        <item m="1" x="24"/>
        <item m="1" x="29"/>
        <item m="1" x="28"/>
        <item m="1" x="31"/>
        <item m="1" x="32"/>
        <item m="1" x="34"/>
        <item m="1" x="35"/>
        <item m="1" x="37"/>
        <item m="1" x="36"/>
        <item m="1" x="33"/>
        <item m="1" x="38"/>
        <item m="1" x="39"/>
        <item m="1" x="41"/>
        <item m="1" x="48"/>
        <item m="1" x="43"/>
        <item m="1" x="46"/>
        <item m="1" x="40"/>
        <item m="1" x="45"/>
        <item m="1" x="44"/>
        <item m="1" x="42"/>
        <item m="1" x="47"/>
        <item m="1" x="50"/>
        <item m="1" x="51"/>
        <item m="1" x="52"/>
        <item m="1" x="54"/>
        <item m="1" x="53"/>
        <item m="1" x="63"/>
        <item m="1" x="58"/>
        <item m="1" x="59"/>
        <item m="1" x="56"/>
        <item m="1" x="60"/>
        <item m="1" x="55"/>
        <item m="1" x="64"/>
        <item m="1" x="57"/>
        <item m="1" x="49"/>
        <item m="1" x="66"/>
        <item m="1" x="62"/>
        <item m="1" x="61"/>
        <item m="1" x="65"/>
        <item m="1" x="70"/>
        <item m="1" x="81"/>
        <item m="1" x="68"/>
        <item m="1" x="69"/>
        <item m="1" x="73"/>
        <item m="1" x="80"/>
        <item m="1" x="78"/>
        <item m="1" x="79"/>
        <item m="1" x="76"/>
        <item m="1" x="86"/>
        <item m="1" x="92"/>
        <item m="1" x="85"/>
        <item m="1" x="71"/>
        <item m="1" x="72"/>
        <item m="1" x="74"/>
        <item m="1" x="75"/>
        <item m="1" x="77"/>
        <item m="1" x="67"/>
        <item m="1" x="82"/>
        <item m="1" x="83"/>
        <item m="1" x="93"/>
        <item m="1" x="84"/>
        <item m="1" x="91"/>
        <item m="1" x="94"/>
        <item m="1" x="102"/>
        <item m="1" x="95"/>
        <item m="1" x="96"/>
        <item m="1" x="97"/>
        <item m="1" x="87"/>
        <item m="1" x="88"/>
        <item m="1" x="98"/>
        <item m="1" x="90"/>
        <item m="1" x="99"/>
        <item m="1" x="110"/>
        <item m="1" x="101"/>
        <item m="1" x="116"/>
        <item m="1" x="112"/>
        <item m="1" x="117"/>
        <item m="1" x="119"/>
        <item m="1" x="115"/>
        <item m="1" x="89"/>
        <item m="1" x="113"/>
        <item m="1" x="114"/>
        <item m="1" x="107"/>
        <item m="1" x="108"/>
        <item m="1" x="100"/>
        <item m="1" x="109"/>
        <item m="1" x="111"/>
        <item m="1" x="103"/>
        <item m="1" x="106"/>
        <item m="1" x="118"/>
        <item m="1" x="122"/>
        <item m="1" x="120"/>
        <item m="1" x="121"/>
        <item m="1" x="126"/>
        <item m="1" x="104"/>
        <item m="1" x="105"/>
        <item m="1" x="125"/>
        <item m="1" x="124"/>
        <item m="1" x="130"/>
        <item m="1" x="131"/>
        <item m="1" x="129"/>
        <item m="1" x="127"/>
        <item m="1" x="135"/>
        <item m="1" x="136"/>
        <item m="1" x="137"/>
        <item m="1" x="139"/>
        <item m="1" x="140"/>
        <item m="1" x="123"/>
        <item m="1" x="132"/>
        <item m="1" x="128"/>
        <item m="1" x="133"/>
        <item m="1" x="134"/>
        <item m="1" x="138"/>
        <item m="1" x="141"/>
        <item m="1" x="142"/>
        <item m="1" x="147"/>
        <item m="1" x="161"/>
        <item m="1" x="144"/>
        <item m="1" x="145"/>
        <item m="1" x="150"/>
        <item m="1" x="151"/>
        <item m="1" x="152"/>
        <item m="1" x="153"/>
        <item m="1" x="149"/>
        <item m="1" x="154"/>
        <item m="1" x="156"/>
        <item m="1" x="183"/>
        <item m="1" x="163"/>
        <item m="1" x="164"/>
        <item m="1" x="167"/>
        <item m="1" x="168"/>
        <item m="1" x="169"/>
        <item m="1" x="172"/>
        <item m="1" x="174"/>
        <item m="1" x="175"/>
        <item m="1" x="176"/>
        <item m="1" x="179"/>
        <item m="1" x="180"/>
        <item m="1" x="143"/>
        <item m="1" x="148"/>
        <item m="1" x="146"/>
        <item m="1" x="155"/>
        <item m="1" x="157"/>
        <item m="1" x="158"/>
        <item m="1" x="160"/>
        <item m="1" x="159"/>
        <item m="1" x="162"/>
        <item m="1" x="165"/>
        <item m="1" x="166"/>
        <item m="1" x="170"/>
        <item m="1" x="181"/>
        <item m="1" x="171"/>
        <item m="1" x="173"/>
        <item m="1" x="177"/>
        <item m="1" x="178"/>
        <item m="1" x="182"/>
        <item m="1" x="185"/>
        <item m="1" x="186"/>
        <item m="1" x="187"/>
        <item m="1" x="189"/>
        <item m="1" x="193"/>
        <item m="1" x="194"/>
        <item m="1" x="195"/>
        <item m="1" x="196"/>
        <item m="1" x="198"/>
        <item m="1" x="199"/>
        <item m="1" x="203"/>
        <item m="1" x="184"/>
        <item m="1" x="204"/>
        <item m="1" x="188"/>
        <item m="1" x="190"/>
        <item m="1" x="212"/>
        <item m="1" x="191"/>
        <item m="1" x="192"/>
        <item m="1" x="211"/>
        <item m="1" x="197"/>
        <item m="1" x="200"/>
        <item m="1" x="205"/>
        <item m="1" x="201"/>
        <item m="1" x="202"/>
        <item m="1" x="207"/>
        <item m="1" x="206"/>
        <item m="1" x="213"/>
        <item m="1" x="209"/>
        <item m="1" x="228"/>
        <item m="1" x="232"/>
        <item m="1" x="229"/>
        <item m="1" x="215"/>
        <item m="1" x="217"/>
        <item m="1" x="243"/>
        <item m="1" x="219"/>
        <item m="1" x="233"/>
        <item m="1" x="234"/>
        <item m="1" x="236"/>
        <item m="1" x="222"/>
        <item m="1" x="224"/>
        <item m="1" x="226"/>
        <item m="1" x="238"/>
        <item m="1" x="241"/>
        <item m="1" x="227"/>
        <item m="1" x="208"/>
        <item m="1" x="210"/>
        <item m="1" x="231"/>
        <item m="1" x="214"/>
        <item m="1" x="216"/>
        <item m="1" x="218"/>
        <item m="1" x="244"/>
        <item m="1" x="220"/>
        <item m="1" x="221"/>
        <item m="1" x="235"/>
        <item m="1" x="237"/>
        <item m="1" x="223"/>
        <item m="1" x="239"/>
        <item m="1" x="230"/>
        <item m="1" x="242"/>
        <item m="1" x="240"/>
        <item m="1" x="260"/>
        <item m="1" x="248"/>
        <item m="1" x="249"/>
        <item m="1" x="246"/>
        <item m="1" x="261"/>
        <item m="1" x="257"/>
        <item m="1" x="259"/>
        <item m="1" x="254"/>
        <item m="1" x="251"/>
        <item m="1" x="250"/>
        <item m="1" x="247"/>
        <item m="1" x="253"/>
        <item m="1" x="256"/>
        <item m="1" x="255"/>
        <item m="1" x="252"/>
        <item m="1" x="263"/>
        <item m="1" x="287"/>
        <item m="1" x="264"/>
        <item m="1" x="265"/>
        <item m="1" x="266"/>
        <item m="1" x="288"/>
        <item m="1" x="267"/>
        <item m="1" x="268"/>
        <item m="1" x="262"/>
        <item m="1" x="258"/>
        <item m="1" x="269"/>
        <item m="1" x="270"/>
        <item m="1" x="271"/>
        <item m="1" x="245"/>
        <item m="1" x="272"/>
        <item m="1" x="273"/>
        <item m="1" x="274"/>
        <item m="1" x="276"/>
        <item m="1" x="275"/>
        <item m="1" x="299"/>
        <item m="1" x="277"/>
        <item m="1" x="278"/>
        <item m="1" x="280"/>
        <item m="1" x="279"/>
        <item m="1" x="315"/>
        <item m="1" x="300"/>
        <item m="1" x="314"/>
        <item m="1" x="281"/>
        <item m="1" x="283"/>
        <item m="1" x="285"/>
        <item m="1" x="286"/>
        <item m="1" x="282"/>
        <item m="1" x="284"/>
        <item m="1" x="289"/>
        <item m="1" x="290"/>
        <item m="1" x="291"/>
        <item m="1" x="292"/>
        <item m="1" x="294"/>
        <item m="1" x="301"/>
        <item m="1" x="293"/>
        <item m="1" x="317"/>
        <item m="1" x="316"/>
        <item m="1" x="295"/>
        <item m="1" x="302"/>
        <item m="1" x="298"/>
        <item m="1" x="296"/>
        <item m="1" x="305"/>
        <item m="1" x="297"/>
        <item m="1" x="306"/>
        <item m="1" x="304"/>
        <item m="1" x="307"/>
        <item m="1" x="308"/>
        <item m="1" x="303"/>
        <item m="1" x="313"/>
        <item m="1" x="309"/>
        <item m="1" x="310"/>
        <item m="1" x="311"/>
        <item m="1" x="312"/>
        <item m="1" x="339"/>
        <item m="1" x="323"/>
        <item m="1" x="326"/>
        <item m="1" x="327"/>
        <item m="1" x="331"/>
        <item m="1" x="332"/>
        <item m="1" x="335"/>
        <item m="1" x="336"/>
        <item m="1" x="319"/>
        <item m="1" x="320"/>
        <item m="1" x="322"/>
        <item m="1" x="324"/>
        <item m="1" x="325"/>
        <item m="1" x="328"/>
        <item m="1" x="329"/>
        <item m="1" x="333"/>
        <item m="1" x="334"/>
        <item m="1" x="337"/>
        <item m="1" x="338"/>
        <item m="1" x="318"/>
        <item m="1" x="346"/>
        <item m="1" x="225"/>
        <item m="1" x="330"/>
        <item m="1" x="321"/>
        <item m="1" x="342"/>
        <item m="1" x="340"/>
        <item m="1" x="347"/>
        <item m="1" x="343"/>
        <item m="1" x="407"/>
        <item m="1" x="350"/>
        <item m="1" x="341"/>
        <item m="1" x="345"/>
        <item m="1" x="344"/>
        <item m="1" x="349"/>
        <item m="1" x="408"/>
        <item m="1" x="351"/>
        <item m="1" x="352"/>
        <item m="1" x="353"/>
        <item m="1" x="348"/>
        <item m="1" x="354"/>
        <item m="1" x="356"/>
        <item m="1" x="357"/>
        <item m="1" x="358"/>
        <item m="1" x="359"/>
        <item m="1" x="355"/>
        <item m="1" x="360"/>
        <item m="1" x="361"/>
        <item m="1" x="364"/>
        <item m="1" x="366"/>
        <item m="1" x="362"/>
        <item m="1" x="363"/>
        <item m="1" x="365"/>
        <item m="1" x="376"/>
        <item m="1" x="372"/>
        <item m="1" x="373"/>
        <item m="1" x="367"/>
        <item m="1" x="374"/>
        <item m="1" x="377"/>
        <item m="1" x="378"/>
        <item m="1" x="368"/>
        <item m="1" x="369"/>
        <item m="1" x="381"/>
        <item m="1" x="382"/>
        <item m="1" x="370"/>
        <item m="1" x="371"/>
        <item m="1" x="386"/>
        <item m="1" x="383"/>
        <item m="1" x="385"/>
        <item m="1" x="384"/>
        <item m="1" x="380"/>
        <item m="1" x="379"/>
        <item m="1" x="375"/>
        <item m="1" x="388"/>
        <item m="1" x="390"/>
        <item m="1" x="389"/>
        <item m="1" x="387"/>
        <item m="1" x="392"/>
        <item m="1" x="395"/>
        <item m="1" x="396"/>
        <item m="1" x="393"/>
        <item m="1" x="391"/>
        <item m="1" x="394"/>
        <item m="1" x="398"/>
        <item m="1" x="400"/>
        <item m="1" x="397"/>
        <item m="1" x="399"/>
        <item m="1" x="401"/>
        <item m="1" x="403"/>
        <item m="1" x="404"/>
        <item m="1" x="410"/>
        <item m="1" x="402"/>
        <item m="1" x="405"/>
        <item m="1" x="409"/>
        <item m="1" x="411"/>
        <item m="1" x="412"/>
        <item m="1" x="406"/>
        <item m="1" x="413"/>
        <item m="1" x="414"/>
        <item m="1" x="415"/>
        <item m="1" x="416"/>
        <item m="1" x="417"/>
        <item m="1" x="419"/>
        <item m="1" x="420"/>
        <item m="1" x="418"/>
        <item m="1" x="429"/>
        <item m="1" x="430"/>
        <item m="1" x="421"/>
        <item m="1" x="422"/>
        <item m="1" x="423"/>
        <item m="1" x="426"/>
        <item m="1" x="425"/>
        <item m="1" x="427"/>
        <item m="1" x="428"/>
        <item m="1" x="424"/>
        <item x="0"/>
        <item x="1"/>
        <item x="2"/>
        <item x="3"/>
        <item x="4"/>
        <item t="default"/>
      </items>
    </pivotField>
  </pivotFields>
  <rowFields count="2">
    <field x="2"/>
    <field x="81"/>
  </rowFields>
  <rowItems count="6">
    <i>
      <x v="428"/>
      <x v="427"/>
    </i>
    <i>
      <x v="429"/>
      <x v="429"/>
    </i>
    <i>
      <x v="430"/>
      <x v="428"/>
    </i>
    <i>
      <x v="432"/>
      <x v="430"/>
    </i>
    <i>
      <x v="433"/>
      <x v="431"/>
    </i>
    <i t="grand">
      <x/>
    </i>
  </rowItems>
  <colItems count="1">
    <i/>
  </colItems>
  <pageFields count="1">
    <pageField fld="3" hier="-1"/>
  </pageFields>
  <dataFields count="1">
    <dataField name="Suma de cantidad" fld="3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3561CA-457A-47FA-9F4E-32C9F97EA839}" name="TablaDinámica20" cacheId="1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gridDropZones="1" multipleFieldFilters="0">
  <location ref="E3:F6" firstHeaderRow="2" firstDataRow="2" firstDataCol="1" rowPageCount="1" colPageCount="1"/>
  <pivotFields count="26">
    <pivotField compact="0" outline="0" showAll="0"/>
    <pivotField compact="0" outline="0" showAll="0"/>
    <pivotField axis="axisPage" compact="0" outline="0" showAll="0">
      <items count="435">
        <item m="1" x="8"/>
        <item m="1" x="11"/>
        <item m="1" x="12"/>
        <item m="1" x="10"/>
        <item m="1" x="9"/>
        <item m="1" x="13"/>
        <item m="1" x="19"/>
        <item m="1" x="5"/>
        <item m="1" x="6"/>
        <item m="1" x="7"/>
        <item m="1" x="14"/>
        <item m="1" x="18"/>
        <item m="1" x="15"/>
        <item m="1" x="16"/>
        <item m="1" x="17"/>
        <item m="1" x="20"/>
        <item m="1" x="21"/>
        <item m="1" x="22"/>
        <item m="1" x="23"/>
        <item m="1" x="24"/>
        <item m="1" x="27"/>
        <item m="1" x="29"/>
        <item m="1" x="32"/>
        <item m="1" x="25"/>
        <item m="1" x="26"/>
        <item m="1" x="30"/>
        <item m="1" x="28"/>
        <item m="1" x="31"/>
        <item m="1" x="36"/>
        <item m="1" x="33"/>
        <item m="1" x="38"/>
        <item m="1" x="34"/>
        <item m="1" x="35"/>
        <item m="1" x="37"/>
        <item m="1" x="39"/>
        <item m="1" x="46"/>
        <item m="1" x="41"/>
        <item m="1" x="48"/>
        <item m="1" x="40"/>
        <item m="1" x="45"/>
        <item m="1" x="43"/>
        <item m="1" x="44"/>
        <item m="1" x="42"/>
        <item m="1" x="47"/>
        <item m="1" x="49"/>
        <item m="1" x="50"/>
        <item m="1" x="51"/>
        <item m="1" x="52"/>
        <item m="1" x="54"/>
        <item m="1" x="53"/>
        <item m="1" x="56"/>
        <item m="1" x="60"/>
        <item m="1" x="63"/>
        <item m="1" x="55"/>
        <item m="1" x="64"/>
        <item m="1" x="62"/>
        <item m="1" x="57"/>
        <item m="1" x="61"/>
        <item m="1" x="71"/>
        <item m="1" x="58"/>
        <item m="1" x="59"/>
        <item m="1" x="72"/>
        <item m="1" x="73"/>
        <item m="1" x="74"/>
        <item m="1" x="66"/>
        <item m="1" x="75"/>
        <item m="1" x="65"/>
        <item m="1" x="80"/>
        <item m="1" x="70"/>
        <item m="1" x="77"/>
        <item m="1" x="78"/>
        <item m="1" x="86"/>
        <item m="1" x="67"/>
        <item m="1" x="81"/>
        <item m="1" x="68"/>
        <item m="1" x="82"/>
        <item m="1" x="83"/>
        <item m="1" x="79"/>
        <item m="1" x="93"/>
        <item m="1" x="84"/>
        <item m="1" x="76"/>
        <item m="1" x="85"/>
        <item m="1" x="91"/>
        <item m="1" x="92"/>
        <item m="1" x="69"/>
        <item m="1" x="94"/>
        <item m="1" x="95"/>
        <item m="1" x="96"/>
        <item m="1" x="97"/>
        <item m="1" x="103"/>
        <item m="1" x="104"/>
        <item m="1" x="105"/>
        <item m="1" x="106"/>
        <item m="1" x="119"/>
        <item m="1" x="87"/>
        <item m="1" x="88"/>
        <item m="1" x="107"/>
        <item m="1" x="98"/>
        <item m="1" x="90"/>
        <item m="1" x="115"/>
        <item m="1" x="99"/>
        <item m="1" x="108"/>
        <item m="1" x="100"/>
        <item m="1" x="109"/>
        <item m="1" x="110"/>
        <item m="1" x="111"/>
        <item m="1" x="101"/>
        <item m="1" x="116"/>
        <item m="1" x="89"/>
        <item m="1" x="112"/>
        <item m="1" x="117"/>
        <item m="1" x="113"/>
        <item m="1" x="118"/>
        <item m="1" x="114"/>
        <item m="1" x="102"/>
        <item m="1" x="120"/>
        <item m="1" x="121"/>
        <item m="1" x="122"/>
        <item m="1" x="126"/>
        <item m="1" x="125"/>
        <item m="1" x="147"/>
        <item m="1" x="123"/>
        <item m="1" x="124"/>
        <item m="1" x="130"/>
        <item m="1" x="131"/>
        <item m="1" x="132"/>
        <item m="1" x="128"/>
        <item m="1" x="129"/>
        <item m="1" x="133"/>
        <item m="1" x="127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8"/>
        <item m="1" x="150"/>
        <item m="1" x="151"/>
        <item m="1" x="152"/>
        <item m="1" x="146"/>
        <item m="1" x="153"/>
        <item m="1" x="149"/>
        <item m="1" x="154"/>
        <item m="1" x="155"/>
        <item m="1" x="183"/>
        <item m="1" x="156"/>
        <item m="1" x="157"/>
        <item m="1" x="182"/>
        <item m="1" x="158"/>
        <item m="1" x="159"/>
        <item m="1" x="160"/>
        <item m="1" x="161"/>
        <item m="1" x="225"/>
        <item m="1" x="162"/>
        <item m="1" x="163"/>
        <item m="1" x="164"/>
        <item m="1" x="165"/>
        <item m="1" x="166"/>
        <item m="1" x="167"/>
        <item m="1" x="168"/>
        <item m="1" x="169"/>
        <item m="1" x="181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4"/>
        <item m="1" x="185"/>
        <item m="1" x="190"/>
        <item m="1" x="186"/>
        <item m="1" x="187"/>
        <item m="1" x="188"/>
        <item m="1" x="189"/>
        <item m="1" x="227"/>
        <item m="1" x="212"/>
        <item m="1" x="191"/>
        <item m="1" x="192"/>
        <item m="1" x="193"/>
        <item m="1" x="194"/>
        <item m="1" x="195"/>
        <item m="1" x="196"/>
        <item m="1" x="211"/>
        <item m="1" x="197"/>
        <item m="1" x="198"/>
        <item m="1" x="199"/>
        <item m="1" x="200"/>
        <item m="1" x="205"/>
        <item m="1" x="201"/>
        <item m="1" x="202"/>
        <item m="1" x="207"/>
        <item m="1" x="203"/>
        <item m="1" x="204"/>
        <item m="1" x="208"/>
        <item m="1" x="206"/>
        <item m="1" x="209"/>
        <item m="1" x="210"/>
        <item m="1" x="214"/>
        <item m="1" x="215"/>
        <item m="1" x="216"/>
        <item m="1" x="217"/>
        <item m="1" x="243"/>
        <item m="1" x="228"/>
        <item m="1" x="218"/>
        <item m="1" x="219"/>
        <item m="1" x="233"/>
        <item m="1" x="220"/>
        <item m="1" x="244"/>
        <item m="1" x="221"/>
        <item m="1" x="234"/>
        <item m="1" x="235"/>
        <item m="1" x="238"/>
        <item m="1" x="239"/>
        <item m="1" x="236"/>
        <item m="1" x="231"/>
        <item m="1" x="232"/>
        <item m="1" x="229"/>
        <item m="1" x="222"/>
        <item m="1" x="237"/>
        <item m="1" x="223"/>
        <item m="1" x="224"/>
        <item m="1" x="245"/>
        <item m="1" x="271"/>
        <item m="1" x="230"/>
        <item m="1" x="226"/>
        <item m="1" x="242"/>
        <item m="1" x="241"/>
        <item m="1" x="240"/>
        <item m="1" x="213"/>
        <item m="1" x="249"/>
        <item m="1" x="246"/>
        <item m="1" x="260"/>
        <item m="1" x="248"/>
        <item m="1" x="247"/>
        <item m="1" x="256"/>
        <item m="1" x="261"/>
        <item m="1" x="255"/>
        <item m="1" x="257"/>
        <item m="1" x="259"/>
        <item m="1" x="254"/>
        <item m="1" x="251"/>
        <item m="1" x="287"/>
        <item m="1" x="264"/>
        <item m="1" x="265"/>
        <item m="1" x="266"/>
        <item m="1" x="267"/>
        <item m="1" x="262"/>
        <item m="1" x="258"/>
        <item m="1" x="252"/>
        <item m="1" x="250"/>
        <item m="1" x="253"/>
        <item m="1" x="288"/>
        <item m="1" x="269"/>
        <item m="1" x="270"/>
        <item m="1" x="263"/>
        <item m="1" x="268"/>
        <item m="1" x="272"/>
        <item m="1" x="273"/>
        <item m="1" x="274"/>
        <item m="1" x="275"/>
        <item m="1" x="276"/>
        <item m="1" x="299"/>
        <item m="1" x="315"/>
        <item m="1" x="277"/>
        <item m="1" x="278"/>
        <item m="1" x="280"/>
        <item m="1" x="279"/>
        <item m="1" x="314"/>
        <item m="1" x="300"/>
        <item m="1" x="285"/>
        <item m="1" x="286"/>
        <item m="1" x="281"/>
        <item m="1" x="282"/>
        <item m="1" x="283"/>
        <item m="1" x="284"/>
        <item m="1" x="289"/>
        <item m="1" x="290"/>
        <item m="1" x="291"/>
        <item m="1" x="292"/>
        <item m="1" x="293"/>
        <item m="1" x="294"/>
        <item m="1" x="301"/>
        <item m="1" x="317"/>
        <item m="1" x="316"/>
        <item m="1" x="302"/>
        <item m="1" x="303"/>
        <item m="1" x="295"/>
        <item m="1" x="296"/>
        <item m="1" x="297"/>
        <item m="1" x="298"/>
        <item m="1" x="304"/>
        <item m="1" x="305"/>
        <item m="1" x="306"/>
        <item m="1" x="307"/>
        <item m="1" x="308"/>
        <item m="1" x="309"/>
        <item m="1" x="310"/>
        <item m="1" x="311"/>
        <item m="1" x="346"/>
        <item m="1" x="312"/>
        <item m="1" x="313"/>
        <item m="1" x="322"/>
        <item m="1" x="339"/>
        <item m="1" x="323"/>
        <item m="1" x="324"/>
        <item m="1" x="325"/>
        <item m="1" x="326"/>
        <item m="1" x="327"/>
        <item m="1" x="328"/>
        <item m="1" x="329"/>
        <item m="1" x="331"/>
        <item m="1" x="332"/>
        <item m="1" x="333"/>
        <item m="1" x="321"/>
        <item m="1" x="318"/>
        <item m="1" x="319"/>
        <item m="1" x="320"/>
        <item m="1" x="330"/>
        <item m="1" x="334"/>
        <item m="1" x="335"/>
        <item m="1" x="336"/>
        <item m="1" x="337"/>
        <item m="1" x="338"/>
        <item m="1" x="340"/>
        <item m="1" x="347"/>
        <item m="1" x="348"/>
        <item m="1" x="341"/>
        <item m="1" x="342"/>
        <item m="1" x="343"/>
        <item m="1" x="345"/>
        <item m="1" x="344"/>
        <item m="1" x="349"/>
        <item m="1" x="407"/>
        <item m="1" x="350"/>
        <item m="1" x="408"/>
        <item m="1" x="351"/>
        <item m="1" x="352"/>
        <item m="1" x="353"/>
        <item m="1" x="354"/>
        <item m="1" x="355"/>
        <item m="1" x="356"/>
        <item m="1" x="357"/>
        <item m="1" x="360"/>
        <item m="1" x="358"/>
        <item m="1" x="359"/>
        <item m="1" x="361"/>
        <item m="1" x="362"/>
        <item m="1" x="363"/>
        <item m="1" x="364"/>
        <item m="1" x="365"/>
        <item m="1" x="366"/>
        <item m="1" x="376"/>
        <item m="1" x="372"/>
        <item m="1" x="373"/>
        <item m="1" x="367"/>
        <item m="1" x="374"/>
        <item m="1" x="377"/>
        <item m="1" x="368"/>
        <item m="1" x="369"/>
        <item m="1" x="378"/>
        <item m="1" x="381"/>
        <item m="1" x="370"/>
        <item m="1" x="371"/>
        <item m="1" x="382"/>
        <item m="1" x="379"/>
        <item m="1" x="380"/>
        <item m="1" x="431"/>
        <item m="1" x="385"/>
        <item m="1" x="386"/>
        <item m="1" x="384"/>
        <item m="1" x="383"/>
        <item m="1" x="392"/>
        <item m="1" x="395"/>
        <item m="1" x="406"/>
        <item m="1" x="396"/>
        <item m="1" x="432"/>
        <item m="1" x="375"/>
        <item m="1" x="391"/>
        <item m="1" x="393"/>
        <item m="1" x="394"/>
        <item m="1" x="397"/>
        <item m="1" x="398"/>
        <item m="1" x="399"/>
        <item m="1" x="401"/>
        <item m="1" x="402"/>
        <item m="1" x="417"/>
        <item m="1" x="400"/>
        <item m="1" x="387"/>
        <item m="1" x="388"/>
        <item m="1" x="389"/>
        <item m="1" x="390"/>
        <item m="1" x="413"/>
        <item m="1" x="403"/>
        <item m="1" x="404"/>
        <item m="1" x="405"/>
        <item m="1" x="409"/>
        <item m="1" x="410"/>
        <item m="1" x="411"/>
        <item m="1" x="412"/>
        <item m="1" x="414"/>
        <item m="1" x="415"/>
        <item m="1" x="416"/>
        <item m="1" x="419"/>
        <item m="1" x="420"/>
        <item m="1" x="418"/>
        <item m="1" x="421"/>
        <item m="1" x="429"/>
        <item m="1" x="430"/>
        <item m="1" x="422"/>
        <item m="1" x="423"/>
        <item m="1" x="427"/>
        <item m="1" x="426"/>
        <item m="1" x="425"/>
        <item m="1" x="424"/>
        <item m="1" x="428"/>
        <item x="0"/>
        <item x="2"/>
        <item x="1"/>
        <item m="1" x="433"/>
        <item x="3"/>
        <item x="4"/>
        <item t="default"/>
      </items>
    </pivotField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axis="axisRow" compact="0" outline="0" showAll="0">
      <items count="17">
        <item m="1" x="1"/>
        <item m="1" x="2"/>
        <item m="1" x="3"/>
        <item m="1" x="4"/>
        <item m="1" x="5"/>
        <item m="1" x="7"/>
        <item m="1" x="10"/>
        <item m="1" x="6"/>
        <item m="1" x="9"/>
        <item m="1" x="8"/>
        <item m="1" x="11"/>
        <item m="1" x="12"/>
        <item m="1" x="14"/>
        <item m="1" x="13"/>
        <item m="1" x="15"/>
        <item x="0"/>
        <item t="default"/>
      </items>
    </pivotField>
  </pivotFields>
  <rowFields count="1">
    <field x="25"/>
  </rowFields>
  <rowItems count="2">
    <i>
      <x v="15"/>
    </i>
    <i t="grand">
      <x/>
    </i>
  </rowItems>
  <colItems count="1">
    <i/>
  </colItems>
  <pageFields count="1">
    <pageField fld="2" hier="-1"/>
  </pageFields>
  <dataFields count="1">
    <dataField name="Suma de cantidad" fld="2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DF80C-A7F3-4092-9FF3-5CEFE8714EDF}">
  <dimension ref="A1:F10"/>
  <sheetViews>
    <sheetView workbookViewId="0">
      <selection activeCell="H10" sqref="H10"/>
    </sheetView>
  </sheetViews>
  <sheetFormatPr baseColWidth="10" defaultRowHeight="14.4" x14ac:dyDescent="0.3"/>
  <cols>
    <col min="1" max="1" width="17.5546875" bestFit="1" customWidth="1"/>
    <col min="2" max="2" width="17.21875" bestFit="1" customWidth="1"/>
    <col min="3" max="3" width="5.21875" bestFit="1" customWidth="1"/>
    <col min="5" max="5" width="23.44140625" bestFit="1" customWidth="1"/>
    <col min="6" max="6" width="9.5546875" bestFit="1" customWidth="1"/>
    <col min="7" max="7" width="8" bestFit="1" customWidth="1"/>
  </cols>
  <sheetData>
    <row r="1" spans="1:6" x14ac:dyDescent="0.3">
      <c r="A1" s="3" t="s">
        <v>3</v>
      </c>
      <c r="B1" t="s">
        <v>293</v>
      </c>
      <c r="E1" s="3" t="s">
        <v>2</v>
      </c>
      <c r="F1" t="s">
        <v>293</v>
      </c>
    </row>
    <row r="3" spans="1:6" x14ac:dyDescent="0.3">
      <c r="A3" s="3" t="s">
        <v>291</v>
      </c>
      <c r="E3" s="3" t="s">
        <v>291</v>
      </c>
    </row>
    <row r="4" spans="1:6" x14ac:dyDescent="0.3">
      <c r="A4" s="3" t="s">
        <v>2</v>
      </c>
      <c r="B4" s="3" t="s">
        <v>289</v>
      </c>
      <c r="C4" t="s">
        <v>292</v>
      </c>
      <c r="E4" s="3" t="s">
        <v>85</v>
      </c>
      <c r="F4" t="s">
        <v>292</v>
      </c>
    </row>
    <row r="5" spans="1:6" x14ac:dyDescent="0.3">
      <c r="A5">
        <v>444</v>
      </c>
      <c r="B5">
        <v>1973</v>
      </c>
      <c r="C5" s="4">
        <v>1600</v>
      </c>
      <c r="E5">
        <v>352</v>
      </c>
      <c r="F5" s="4">
        <v>7040</v>
      </c>
    </row>
    <row r="6" spans="1:6" x14ac:dyDescent="0.3">
      <c r="A6">
        <v>445</v>
      </c>
      <c r="B6">
        <v>1975</v>
      </c>
      <c r="C6" s="4">
        <v>1600</v>
      </c>
      <c r="E6" t="s">
        <v>290</v>
      </c>
      <c r="F6" s="4">
        <v>7040</v>
      </c>
    </row>
    <row r="7" spans="1:6" x14ac:dyDescent="0.3">
      <c r="A7">
        <v>446</v>
      </c>
      <c r="B7">
        <v>1974</v>
      </c>
      <c r="C7" s="4">
        <v>1200</v>
      </c>
    </row>
    <row r="8" spans="1:6" x14ac:dyDescent="0.3">
      <c r="A8">
        <v>448</v>
      </c>
      <c r="B8">
        <v>1976</v>
      </c>
      <c r="C8" s="4">
        <v>1440</v>
      </c>
    </row>
    <row r="9" spans="1:6" x14ac:dyDescent="0.3">
      <c r="A9">
        <v>449</v>
      </c>
      <c r="B9">
        <v>1977</v>
      </c>
      <c r="C9" s="4">
        <v>1200</v>
      </c>
    </row>
    <row r="10" spans="1:6" x14ac:dyDescent="0.3">
      <c r="A10" t="s">
        <v>290</v>
      </c>
      <c r="C10" s="4">
        <v>7040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6AC37-F78F-471C-ACA3-FC82571F7725}">
  <dimension ref="A1:CD116"/>
  <sheetViews>
    <sheetView zoomScale="69" zoomScaleNormal="130" workbookViewId="0">
      <selection activeCell="E30" sqref="E30"/>
    </sheetView>
  </sheetViews>
  <sheetFormatPr baseColWidth="10" defaultRowHeight="14.4" x14ac:dyDescent="0.3"/>
  <cols>
    <col min="3" max="3" width="20.5546875" bestFit="1" customWidth="1"/>
    <col min="4" max="4" width="17.5546875" style="1" bestFit="1" customWidth="1"/>
    <col min="7" max="7" width="16.88671875" style="1" bestFit="1" customWidth="1"/>
    <col min="52" max="52" width="11.44140625" style="1"/>
    <col min="71" max="71" width="25.5546875" bestFit="1" customWidth="1"/>
    <col min="73" max="73" width="19.109375" bestFit="1" customWidth="1"/>
    <col min="80" max="81" width="13.44140625" style="2" bestFit="1" customWidth="1"/>
  </cols>
  <sheetData>
    <row r="1" spans="1:82" x14ac:dyDescent="0.3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22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30</v>
      </c>
      <c r="AC1" t="s">
        <v>31</v>
      </c>
      <c r="AD1" t="s">
        <v>32</v>
      </c>
      <c r="AE1" t="s">
        <v>33</v>
      </c>
      <c r="AF1" t="s">
        <v>34</v>
      </c>
      <c r="AG1" t="s">
        <v>35</v>
      </c>
      <c r="AH1" t="s">
        <v>36</v>
      </c>
      <c r="AI1" t="s">
        <v>37</v>
      </c>
      <c r="AJ1" t="s">
        <v>38</v>
      </c>
      <c r="AK1" t="s">
        <v>39</v>
      </c>
      <c r="AL1" t="s">
        <v>40</v>
      </c>
      <c r="AM1" t="s">
        <v>41</v>
      </c>
      <c r="AN1" t="s">
        <v>42</v>
      </c>
      <c r="AO1" t="s">
        <v>43</v>
      </c>
      <c r="AP1" t="s">
        <v>44</v>
      </c>
      <c r="AQ1" t="s">
        <v>45</v>
      </c>
      <c r="AR1" t="s">
        <v>46</v>
      </c>
      <c r="AS1" t="s">
        <v>47</v>
      </c>
      <c r="AT1" t="s">
        <v>48</v>
      </c>
      <c r="AU1" t="s">
        <v>49</v>
      </c>
      <c r="AV1" t="s">
        <v>50</v>
      </c>
      <c r="AW1" t="s">
        <v>51</v>
      </c>
      <c r="AX1" t="s">
        <v>52</v>
      </c>
      <c r="AY1" t="s">
        <v>53</v>
      </c>
      <c r="AZ1" s="1" t="s">
        <v>54</v>
      </c>
      <c r="BA1" t="s">
        <v>55</v>
      </c>
      <c r="BB1" t="s">
        <v>56</v>
      </c>
      <c r="BC1" t="s">
        <v>57</v>
      </c>
      <c r="BD1" t="s">
        <v>58</v>
      </c>
      <c r="BE1" t="s">
        <v>59</v>
      </c>
      <c r="BF1" t="s">
        <v>60</v>
      </c>
      <c r="BG1" t="s">
        <v>61</v>
      </c>
      <c r="BH1" t="s">
        <v>62</v>
      </c>
      <c r="BI1" t="s">
        <v>63</v>
      </c>
      <c r="BJ1" t="s">
        <v>64</v>
      </c>
      <c r="BK1" t="s">
        <v>65</v>
      </c>
      <c r="BL1" t="s">
        <v>66</v>
      </c>
      <c r="BM1" t="s">
        <v>67</v>
      </c>
      <c r="BN1" t="s">
        <v>68</v>
      </c>
      <c r="BO1" t="s">
        <v>69</v>
      </c>
      <c r="BP1" t="s">
        <v>70</v>
      </c>
      <c r="BQ1" t="s">
        <v>71</v>
      </c>
      <c r="BR1" t="s">
        <v>72</v>
      </c>
      <c r="BS1" t="s">
        <v>73</v>
      </c>
      <c r="BT1" t="s">
        <v>74</v>
      </c>
      <c r="BU1" t="s">
        <v>75</v>
      </c>
      <c r="BV1" t="s">
        <v>76</v>
      </c>
      <c r="BW1" t="s">
        <v>77</v>
      </c>
      <c r="BX1" t="s">
        <v>78</v>
      </c>
      <c r="BY1" t="s">
        <v>79</v>
      </c>
      <c r="BZ1" t="s">
        <v>80</v>
      </c>
      <c r="CA1" t="s">
        <v>81</v>
      </c>
      <c r="CB1" s="2" t="s">
        <v>82</v>
      </c>
      <c r="CC1" s="2" t="s">
        <v>83</v>
      </c>
      <c r="CD1" t="s">
        <v>289</v>
      </c>
    </row>
    <row r="2" spans="1:82" x14ac:dyDescent="0.3">
      <c r="A2" t="s">
        <v>86</v>
      </c>
      <c r="B2">
        <v>20376</v>
      </c>
      <c r="C2">
        <v>444</v>
      </c>
      <c r="D2" s="1">
        <v>46160</v>
      </c>
      <c r="E2">
        <v>21</v>
      </c>
      <c r="F2">
        <v>5</v>
      </c>
      <c r="G2" s="1">
        <v>46170</v>
      </c>
      <c r="H2" t="s">
        <v>87</v>
      </c>
      <c r="I2" t="s">
        <v>88</v>
      </c>
      <c r="J2" t="s">
        <v>134</v>
      </c>
      <c r="K2">
        <v>56</v>
      </c>
      <c r="L2" t="s">
        <v>128</v>
      </c>
      <c r="M2">
        <v>347</v>
      </c>
      <c r="N2" t="s">
        <v>125</v>
      </c>
      <c r="O2" t="s">
        <v>106</v>
      </c>
      <c r="P2" t="s">
        <v>138</v>
      </c>
      <c r="R2" t="s">
        <v>139</v>
      </c>
      <c r="T2" t="s">
        <v>140</v>
      </c>
      <c r="U2" t="s">
        <v>140</v>
      </c>
      <c r="V2" t="s">
        <v>100</v>
      </c>
      <c r="W2" t="s">
        <v>142</v>
      </c>
      <c r="X2" t="s">
        <v>143</v>
      </c>
      <c r="Y2" t="s">
        <v>95</v>
      </c>
      <c r="Z2">
        <v>15</v>
      </c>
      <c r="AA2" t="s">
        <v>89</v>
      </c>
      <c r="AB2" t="s">
        <v>89</v>
      </c>
      <c r="AC2" t="s">
        <v>90</v>
      </c>
      <c r="AD2" t="s">
        <v>107</v>
      </c>
      <c r="AE2">
        <v>80</v>
      </c>
      <c r="AF2">
        <v>1200</v>
      </c>
      <c r="AG2">
        <v>10</v>
      </c>
      <c r="AK2" t="s">
        <v>116</v>
      </c>
      <c r="AM2" t="s">
        <v>96</v>
      </c>
      <c r="AN2" t="s">
        <v>93</v>
      </c>
      <c r="AO2" t="s">
        <v>129</v>
      </c>
      <c r="AV2" t="s">
        <v>135</v>
      </c>
      <c r="AW2" t="s">
        <v>144</v>
      </c>
      <c r="AY2" t="s">
        <v>130</v>
      </c>
      <c r="AZ2" s="1">
        <v>46164</v>
      </c>
      <c r="BA2" t="s">
        <v>145</v>
      </c>
      <c r="BB2">
        <v>444</v>
      </c>
      <c r="BF2" t="s">
        <v>100</v>
      </c>
      <c r="BG2">
        <v>118</v>
      </c>
      <c r="BH2" t="s">
        <v>146</v>
      </c>
      <c r="BJ2" t="s">
        <v>94</v>
      </c>
      <c r="BK2" t="s">
        <v>139</v>
      </c>
      <c r="BL2" t="s">
        <v>100</v>
      </c>
      <c r="BP2" t="s">
        <v>147</v>
      </c>
      <c r="BQ2">
        <v>474</v>
      </c>
      <c r="BR2" t="s">
        <v>126</v>
      </c>
      <c r="BS2" t="s">
        <v>127</v>
      </c>
      <c r="BT2" t="s">
        <v>148</v>
      </c>
      <c r="BU2" t="s">
        <v>131</v>
      </c>
      <c r="BV2" t="s">
        <v>137</v>
      </c>
      <c r="BW2" t="s">
        <v>137</v>
      </c>
      <c r="BX2">
        <v>46160</v>
      </c>
      <c r="BZ2" t="s">
        <v>94</v>
      </c>
      <c r="CA2">
        <v>46157</v>
      </c>
      <c r="CB2" s="2">
        <v>46164</v>
      </c>
      <c r="CC2" s="2">
        <v>46170</v>
      </c>
      <c r="CD2">
        <f>+VLOOKUP(C2,[1]Sheet1!$A$1:$AC$452,18,FALSE)</f>
        <v>1973</v>
      </c>
    </row>
    <row r="3" spans="1:82" x14ac:dyDescent="0.3">
      <c r="A3" t="s">
        <v>86</v>
      </c>
      <c r="B3">
        <v>20377</v>
      </c>
      <c r="C3">
        <v>444</v>
      </c>
      <c r="D3" s="1">
        <v>46160</v>
      </c>
      <c r="E3">
        <v>21</v>
      </c>
      <c r="F3">
        <v>5</v>
      </c>
      <c r="G3" s="1">
        <v>46170</v>
      </c>
      <c r="H3" t="s">
        <v>87</v>
      </c>
      <c r="I3" t="s">
        <v>88</v>
      </c>
      <c r="J3" t="s">
        <v>134</v>
      </c>
      <c r="K3">
        <v>56</v>
      </c>
      <c r="L3" t="s">
        <v>128</v>
      </c>
      <c r="M3">
        <v>347</v>
      </c>
      <c r="N3" t="s">
        <v>125</v>
      </c>
      <c r="O3" t="s">
        <v>106</v>
      </c>
      <c r="P3" t="s">
        <v>138</v>
      </c>
      <c r="R3" t="s">
        <v>139</v>
      </c>
      <c r="T3" t="s">
        <v>150</v>
      </c>
      <c r="U3" t="s">
        <v>150</v>
      </c>
      <c r="V3" t="s">
        <v>100</v>
      </c>
      <c r="W3" t="s">
        <v>142</v>
      </c>
      <c r="X3" t="s">
        <v>143</v>
      </c>
      <c r="Y3" t="s">
        <v>95</v>
      </c>
      <c r="Z3">
        <v>15</v>
      </c>
      <c r="AA3" t="s">
        <v>89</v>
      </c>
      <c r="AB3" t="s">
        <v>89</v>
      </c>
      <c r="AC3" t="s">
        <v>90</v>
      </c>
      <c r="AD3" t="s">
        <v>109</v>
      </c>
      <c r="AE3">
        <v>80</v>
      </c>
      <c r="AF3">
        <v>1200</v>
      </c>
      <c r="AG3">
        <v>10</v>
      </c>
      <c r="AK3" t="s">
        <v>116</v>
      </c>
      <c r="AM3" t="s">
        <v>96</v>
      </c>
      <c r="AN3" t="s">
        <v>93</v>
      </c>
      <c r="AO3" t="s">
        <v>129</v>
      </c>
      <c r="AV3" t="s">
        <v>135</v>
      </c>
      <c r="AW3" t="s">
        <v>144</v>
      </c>
      <c r="AY3" t="s">
        <v>130</v>
      </c>
      <c r="AZ3" s="1">
        <v>46164</v>
      </c>
      <c r="BA3" t="s">
        <v>145</v>
      </c>
      <c r="BB3">
        <v>444</v>
      </c>
      <c r="BF3" t="s">
        <v>100</v>
      </c>
      <c r="BG3">
        <v>118</v>
      </c>
      <c r="BH3" t="s">
        <v>146</v>
      </c>
      <c r="BJ3" t="s">
        <v>94</v>
      </c>
      <c r="BK3" t="s">
        <v>139</v>
      </c>
      <c r="BL3" t="s">
        <v>100</v>
      </c>
      <c r="BP3" t="s">
        <v>147</v>
      </c>
      <c r="BQ3">
        <v>474</v>
      </c>
      <c r="BR3" t="s">
        <v>126</v>
      </c>
      <c r="BS3" t="s">
        <v>127</v>
      </c>
      <c r="BT3" t="s">
        <v>148</v>
      </c>
      <c r="BU3" t="s">
        <v>131</v>
      </c>
      <c r="BV3" t="s">
        <v>137</v>
      </c>
      <c r="BW3" t="s">
        <v>137</v>
      </c>
      <c r="BX3">
        <v>46160</v>
      </c>
      <c r="BZ3" t="s">
        <v>94</v>
      </c>
      <c r="CA3">
        <v>46157</v>
      </c>
      <c r="CB3" s="2">
        <v>46164</v>
      </c>
      <c r="CC3" s="2">
        <v>46170</v>
      </c>
      <c r="CD3">
        <f>+VLOOKUP(C3,[1]Sheet1!$A$1:$AC$452,18,FALSE)</f>
        <v>1973</v>
      </c>
    </row>
    <row r="4" spans="1:82" x14ac:dyDescent="0.3">
      <c r="A4" t="s">
        <v>86</v>
      </c>
      <c r="B4">
        <v>20378</v>
      </c>
      <c r="C4">
        <v>444</v>
      </c>
      <c r="D4" s="1">
        <v>46160</v>
      </c>
      <c r="E4">
        <v>21</v>
      </c>
      <c r="F4">
        <v>5</v>
      </c>
      <c r="G4" s="1">
        <v>46170</v>
      </c>
      <c r="H4" t="s">
        <v>87</v>
      </c>
      <c r="I4" t="s">
        <v>88</v>
      </c>
      <c r="J4" t="s">
        <v>134</v>
      </c>
      <c r="K4">
        <v>56</v>
      </c>
      <c r="L4" t="s">
        <v>128</v>
      </c>
      <c r="M4">
        <v>347</v>
      </c>
      <c r="N4" t="s">
        <v>125</v>
      </c>
      <c r="O4" t="s">
        <v>106</v>
      </c>
      <c r="P4" t="s">
        <v>138</v>
      </c>
      <c r="R4" t="s">
        <v>139</v>
      </c>
      <c r="T4" t="s">
        <v>151</v>
      </c>
      <c r="U4" t="s">
        <v>151</v>
      </c>
      <c r="V4" t="s">
        <v>100</v>
      </c>
      <c r="W4" t="s">
        <v>142</v>
      </c>
      <c r="X4" t="s">
        <v>143</v>
      </c>
      <c r="Y4" t="s">
        <v>95</v>
      </c>
      <c r="Z4">
        <v>15</v>
      </c>
      <c r="AA4" t="s">
        <v>89</v>
      </c>
      <c r="AB4" t="s">
        <v>89</v>
      </c>
      <c r="AC4" t="s">
        <v>90</v>
      </c>
      <c r="AD4" t="s">
        <v>119</v>
      </c>
      <c r="AE4">
        <v>80</v>
      </c>
      <c r="AF4">
        <v>1200</v>
      </c>
      <c r="AG4">
        <v>10</v>
      </c>
      <c r="AK4" t="s">
        <v>116</v>
      </c>
      <c r="AM4" t="s">
        <v>96</v>
      </c>
      <c r="AN4" t="s">
        <v>93</v>
      </c>
      <c r="AO4" t="s">
        <v>129</v>
      </c>
      <c r="AV4" t="s">
        <v>135</v>
      </c>
      <c r="AW4" t="s">
        <v>144</v>
      </c>
      <c r="AY4" t="s">
        <v>130</v>
      </c>
      <c r="AZ4" s="1">
        <v>46164</v>
      </c>
      <c r="BA4" t="s">
        <v>145</v>
      </c>
      <c r="BB4">
        <v>444</v>
      </c>
      <c r="BF4" t="s">
        <v>100</v>
      </c>
      <c r="BG4">
        <v>118</v>
      </c>
      <c r="BH4" t="s">
        <v>146</v>
      </c>
      <c r="BJ4" t="s">
        <v>94</v>
      </c>
      <c r="BK4" t="s">
        <v>139</v>
      </c>
      <c r="BL4" t="s">
        <v>100</v>
      </c>
      <c r="BP4" t="s">
        <v>147</v>
      </c>
      <c r="BQ4">
        <v>474</v>
      </c>
      <c r="BR4" t="s">
        <v>126</v>
      </c>
      <c r="BS4" t="s">
        <v>127</v>
      </c>
      <c r="BT4" t="s">
        <v>148</v>
      </c>
      <c r="BU4" t="s">
        <v>131</v>
      </c>
      <c r="BV4" t="s">
        <v>137</v>
      </c>
      <c r="BW4" t="s">
        <v>137</v>
      </c>
      <c r="BX4">
        <v>46160</v>
      </c>
      <c r="BZ4" t="s">
        <v>94</v>
      </c>
      <c r="CA4">
        <v>46157</v>
      </c>
      <c r="CB4" s="2">
        <v>46164</v>
      </c>
      <c r="CC4" s="2">
        <v>46170</v>
      </c>
      <c r="CD4">
        <f>+VLOOKUP(C4,[1]Sheet1!$A$1:$AC$452,18,FALSE)</f>
        <v>1973</v>
      </c>
    </row>
    <row r="5" spans="1:82" x14ac:dyDescent="0.3">
      <c r="A5" t="s">
        <v>86</v>
      </c>
      <c r="B5">
        <v>20379</v>
      </c>
      <c r="C5">
        <v>444</v>
      </c>
      <c r="D5" s="1">
        <v>46160</v>
      </c>
      <c r="E5">
        <v>21</v>
      </c>
      <c r="F5">
        <v>5</v>
      </c>
      <c r="G5" s="1">
        <v>46170</v>
      </c>
      <c r="H5" t="s">
        <v>87</v>
      </c>
      <c r="I5" t="s">
        <v>88</v>
      </c>
      <c r="J5" t="s">
        <v>134</v>
      </c>
      <c r="K5">
        <v>56</v>
      </c>
      <c r="L5" t="s">
        <v>128</v>
      </c>
      <c r="M5">
        <v>347</v>
      </c>
      <c r="N5" t="s">
        <v>125</v>
      </c>
      <c r="O5" t="s">
        <v>106</v>
      </c>
      <c r="P5" t="s">
        <v>138</v>
      </c>
      <c r="R5" t="s">
        <v>139</v>
      </c>
      <c r="T5" t="s">
        <v>152</v>
      </c>
      <c r="U5" t="s">
        <v>152</v>
      </c>
      <c r="V5" t="s">
        <v>100</v>
      </c>
      <c r="W5" t="s">
        <v>142</v>
      </c>
      <c r="X5" t="s">
        <v>143</v>
      </c>
      <c r="Y5" t="s">
        <v>95</v>
      </c>
      <c r="Z5">
        <v>15</v>
      </c>
      <c r="AA5" t="s">
        <v>89</v>
      </c>
      <c r="AB5" t="s">
        <v>89</v>
      </c>
      <c r="AC5" t="s">
        <v>90</v>
      </c>
      <c r="AD5" t="s">
        <v>111</v>
      </c>
      <c r="AE5">
        <v>80</v>
      </c>
      <c r="AF5">
        <v>1200</v>
      </c>
      <c r="AG5">
        <v>10</v>
      </c>
      <c r="AK5" t="s">
        <v>116</v>
      </c>
      <c r="AM5" t="s">
        <v>96</v>
      </c>
      <c r="AN5" t="s">
        <v>93</v>
      </c>
      <c r="AO5" t="s">
        <v>129</v>
      </c>
      <c r="AV5" t="s">
        <v>135</v>
      </c>
      <c r="AW5" t="s">
        <v>144</v>
      </c>
      <c r="AY5" t="s">
        <v>130</v>
      </c>
      <c r="AZ5" s="1">
        <v>46164</v>
      </c>
      <c r="BA5" t="s">
        <v>145</v>
      </c>
      <c r="BB5">
        <v>444</v>
      </c>
      <c r="BF5" t="s">
        <v>100</v>
      </c>
      <c r="BG5">
        <v>118</v>
      </c>
      <c r="BH5" t="s">
        <v>146</v>
      </c>
      <c r="BJ5" t="s">
        <v>94</v>
      </c>
      <c r="BK5" t="s">
        <v>139</v>
      </c>
      <c r="BL5" t="s">
        <v>100</v>
      </c>
      <c r="BP5" t="s">
        <v>147</v>
      </c>
      <c r="BQ5">
        <v>474</v>
      </c>
      <c r="BR5" t="s">
        <v>126</v>
      </c>
      <c r="BS5" t="s">
        <v>127</v>
      </c>
      <c r="BT5" t="s">
        <v>148</v>
      </c>
      <c r="BU5" t="s">
        <v>131</v>
      </c>
      <c r="BV5" t="s">
        <v>137</v>
      </c>
      <c r="BW5" t="s">
        <v>137</v>
      </c>
      <c r="BX5">
        <v>46160</v>
      </c>
      <c r="BZ5" t="s">
        <v>94</v>
      </c>
      <c r="CA5">
        <v>46157</v>
      </c>
      <c r="CB5" s="2">
        <v>46164</v>
      </c>
      <c r="CC5" s="2">
        <v>46170</v>
      </c>
      <c r="CD5">
        <f>+VLOOKUP(C5,[1]Sheet1!$A$1:$AC$452,18,FALSE)</f>
        <v>1973</v>
      </c>
    </row>
    <row r="6" spans="1:82" x14ac:dyDescent="0.3">
      <c r="A6" t="s">
        <v>86</v>
      </c>
      <c r="B6">
        <v>20380</v>
      </c>
      <c r="C6">
        <v>444</v>
      </c>
      <c r="D6" s="1">
        <v>46160</v>
      </c>
      <c r="E6">
        <v>21</v>
      </c>
      <c r="F6">
        <v>5</v>
      </c>
      <c r="G6" s="1">
        <v>46170</v>
      </c>
      <c r="H6" t="s">
        <v>87</v>
      </c>
      <c r="I6" t="s">
        <v>88</v>
      </c>
      <c r="J6" t="s">
        <v>134</v>
      </c>
      <c r="K6">
        <v>56</v>
      </c>
      <c r="L6" t="s">
        <v>128</v>
      </c>
      <c r="M6">
        <v>347</v>
      </c>
      <c r="N6" t="s">
        <v>125</v>
      </c>
      <c r="O6" t="s">
        <v>106</v>
      </c>
      <c r="P6" t="s">
        <v>138</v>
      </c>
      <c r="R6" t="s">
        <v>139</v>
      </c>
      <c r="T6" t="s">
        <v>153</v>
      </c>
      <c r="U6" t="s">
        <v>153</v>
      </c>
      <c r="V6" t="s">
        <v>100</v>
      </c>
      <c r="W6" t="s">
        <v>142</v>
      </c>
      <c r="X6" t="s">
        <v>143</v>
      </c>
      <c r="Y6" t="s">
        <v>95</v>
      </c>
      <c r="Z6">
        <v>15</v>
      </c>
      <c r="AA6" t="s">
        <v>89</v>
      </c>
      <c r="AB6" t="s">
        <v>89</v>
      </c>
      <c r="AC6" t="s">
        <v>90</v>
      </c>
      <c r="AD6" t="s">
        <v>117</v>
      </c>
      <c r="AE6">
        <v>80</v>
      </c>
      <c r="AF6">
        <v>1200</v>
      </c>
      <c r="AG6">
        <v>10</v>
      </c>
      <c r="AK6" t="s">
        <v>116</v>
      </c>
      <c r="AM6" t="s">
        <v>96</v>
      </c>
      <c r="AN6" t="s">
        <v>93</v>
      </c>
      <c r="AO6" t="s">
        <v>129</v>
      </c>
      <c r="AV6" t="s">
        <v>135</v>
      </c>
      <c r="AW6" t="s">
        <v>144</v>
      </c>
      <c r="AY6" t="s">
        <v>130</v>
      </c>
      <c r="AZ6" s="1">
        <v>46164</v>
      </c>
      <c r="BA6" t="s">
        <v>145</v>
      </c>
      <c r="BB6">
        <v>444</v>
      </c>
      <c r="BF6" t="s">
        <v>100</v>
      </c>
      <c r="BG6">
        <v>118</v>
      </c>
      <c r="BH6" t="s">
        <v>146</v>
      </c>
      <c r="BJ6" t="s">
        <v>94</v>
      </c>
      <c r="BK6" t="s">
        <v>139</v>
      </c>
      <c r="BL6" t="s">
        <v>100</v>
      </c>
      <c r="BP6" t="s">
        <v>147</v>
      </c>
      <c r="BQ6">
        <v>474</v>
      </c>
      <c r="BR6" t="s">
        <v>126</v>
      </c>
      <c r="BS6" t="s">
        <v>127</v>
      </c>
      <c r="BT6" t="s">
        <v>148</v>
      </c>
      <c r="BU6" t="s">
        <v>131</v>
      </c>
      <c r="BV6" t="s">
        <v>137</v>
      </c>
      <c r="BW6" t="s">
        <v>137</v>
      </c>
      <c r="BX6">
        <v>46160</v>
      </c>
      <c r="BZ6" t="s">
        <v>94</v>
      </c>
      <c r="CA6">
        <v>46157</v>
      </c>
      <c r="CB6" s="2">
        <v>46164</v>
      </c>
      <c r="CC6" s="2">
        <v>46170</v>
      </c>
      <c r="CD6">
        <f>+VLOOKUP(C6,[1]Sheet1!$A$1:$AC$452,18,FALSE)</f>
        <v>1973</v>
      </c>
    </row>
    <row r="7" spans="1:82" x14ac:dyDescent="0.3">
      <c r="A7" t="s">
        <v>86</v>
      </c>
      <c r="B7">
        <v>20381</v>
      </c>
      <c r="C7">
        <v>444</v>
      </c>
      <c r="D7" s="1">
        <v>46160</v>
      </c>
      <c r="E7">
        <v>21</v>
      </c>
      <c r="F7">
        <v>5</v>
      </c>
      <c r="G7" s="1">
        <v>46170</v>
      </c>
      <c r="H7" t="s">
        <v>87</v>
      </c>
      <c r="I7" t="s">
        <v>88</v>
      </c>
      <c r="J7" t="s">
        <v>134</v>
      </c>
      <c r="K7">
        <v>56</v>
      </c>
      <c r="L7" t="s">
        <v>128</v>
      </c>
      <c r="M7">
        <v>347</v>
      </c>
      <c r="N7" t="s">
        <v>125</v>
      </c>
      <c r="O7" t="s">
        <v>106</v>
      </c>
      <c r="P7" t="s">
        <v>138</v>
      </c>
      <c r="R7" t="s">
        <v>139</v>
      </c>
      <c r="T7" t="s">
        <v>154</v>
      </c>
      <c r="U7" t="s">
        <v>154</v>
      </c>
      <c r="V7" t="s">
        <v>100</v>
      </c>
      <c r="W7" t="s">
        <v>142</v>
      </c>
      <c r="X7" t="s">
        <v>143</v>
      </c>
      <c r="Y7" t="s">
        <v>95</v>
      </c>
      <c r="Z7">
        <v>15</v>
      </c>
      <c r="AA7" t="s">
        <v>89</v>
      </c>
      <c r="AB7" t="s">
        <v>89</v>
      </c>
      <c r="AC7" t="s">
        <v>90</v>
      </c>
      <c r="AD7" t="s">
        <v>111</v>
      </c>
      <c r="AE7">
        <v>80</v>
      </c>
      <c r="AF7">
        <v>1200</v>
      </c>
      <c r="AG7">
        <v>10</v>
      </c>
      <c r="AK7" t="s">
        <v>116</v>
      </c>
      <c r="AM7" t="s">
        <v>96</v>
      </c>
      <c r="AN7" t="s">
        <v>93</v>
      </c>
      <c r="AO7" t="s">
        <v>129</v>
      </c>
      <c r="AV7" t="s">
        <v>135</v>
      </c>
      <c r="AW7" t="s">
        <v>144</v>
      </c>
      <c r="AY7" t="s">
        <v>130</v>
      </c>
      <c r="AZ7" s="1">
        <v>46164</v>
      </c>
      <c r="BA7" t="s">
        <v>145</v>
      </c>
      <c r="BB7">
        <v>444</v>
      </c>
      <c r="BF7" t="s">
        <v>100</v>
      </c>
      <c r="BG7">
        <v>118</v>
      </c>
      <c r="BH7" t="s">
        <v>146</v>
      </c>
      <c r="BJ7" t="s">
        <v>94</v>
      </c>
      <c r="BK7" t="s">
        <v>139</v>
      </c>
      <c r="BL7" t="s">
        <v>100</v>
      </c>
      <c r="BP7" t="s">
        <v>147</v>
      </c>
      <c r="BQ7">
        <v>474</v>
      </c>
      <c r="BR7" t="s">
        <v>126</v>
      </c>
      <c r="BS7" t="s">
        <v>127</v>
      </c>
      <c r="BT7" t="s">
        <v>148</v>
      </c>
      <c r="BU7" t="s">
        <v>131</v>
      </c>
      <c r="BV7" t="s">
        <v>137</v>
      </c>
      <c r="BW7" t="s">
        <v>137</v>
      </c>
      <c r="BX7">
        <v>46160</v>
      </c>
      <c r="BZ7" t="s">
        <v>94</v>
      </c>
      <c r="CA7">
        <v>46157</v>
      </c>
      <c r="CB7" s="2">
        <v>46164</v>
      </c>
      <c r="CC7" s="2">
        <v>46170</v>
      </c>
      <c r="CD7">
        <f>+VLOOKUP(C7,[1]Sheet1!$A$1:$AC$452,18,FALSE)</f>
        <v>1973</v>
      </c>
    </row>
    <row r="8" spans="1:82" x14ac:dyDescent="0.3">
      <c r="A8" t="s">
        <v>86</v>
      </c>
      <c r="B8">
        <v>20382</v>
      </c>
      <c r="C8">
        <v>444</v>
      </c>
      <c r="D8" s="1">
        <v>46160</v>
      </c>
      <c r="E8">
        <v>21</v>
      </c>
      <c r="F8">
        <v>5</v>
      </c>
      <c r="G8" s="1">
        <v>46170</v>
      </c>
      <c r="H8" t="s">
        <v>87</v>
      </c>
      <c r="I8" t="s">
        <v>88</v>
      </c>
      <c r="J8" t="s">
        <v>134</v>
      </c>
      <c r="K8">
        <v>56</v>
      </c>
      <c r="L8" t="s">
        <v>128</v>
      </c>
      <c r="M8">
        <v>347</v>
      </c>
      <c r="N8" t="s">
        <v>125</v>
      </c>
      <c r="O8" t="s">
        <v>106</v>
      </c>
      <c r="P8" t="s">
        <v>138</v>
      </c>
      <c r="R8" t="s">
        <v>139</v>
      </c>
      <c r="T8" t="s">
        <v>155</v>
      </c>
      <c r="U8" t="s">
        <v>155</v>
      </c>
      <c r="V8" t="s">
        <v>100</v>
      </c>
      <c r="W8" t="s">
        <v>142</v>
      </c>
      <c r="X8" t="s">
        <v>143</v>
      </c>
      <c r="Y8" t="s">
        <v>95</v>
      </c>
      <c r="Z8">
        <v>15</v>
      </c>
      <c r="AA8" t="s">
        <v>89</v>
      </c>
      <c r="AB8" t="s">
        <v>89</v>
      </c>
      <c r="AC8" t="s">
        <v>90</v>
      </c>
      <c r="AD8" t="s">
        <v>109</v>
      </c>
      <c r="AE8">
        <v>80</v>
      </c>
      <c r="AF8">
        <v>1200</v>
      </c>
      <c r="AG8">
        <v>10</v>
      </c>
      <c r="AK8" t="s">
        <v>116</v>
      </c>
      <c r="AM8" t="s">
        <v>96</v>
      </c>
      <c r="AN8" t="s">
        <v>93</v>
      </c>
      <c r="AO8" t="s">
        <v>129</v>
      </c>
      <c r="AV8" t="s">
        <v>135</v>
      </c>
      <c r="AW8" t="s">
        <v>144</v>
      </c>
      <c r="AY8" t="s">
        <v>130</v>
      </c>
      <c r="AZ8" s="1">
        <v>46164</v>
      </c>
      <c r="BA8" t="s">
        <v>145</v>
      </c>
      <c r="BB8">
        <v>444</v>
      </c>
      <c r="BF8" t="s">
        <v>100</v>
      </c>
      <c r="BG8">
        <v>118</v>
      </c>
      <c r="BH8" t="s">
        <v>146</v>
      </c>
      <c r="BJ8" t="s">
        <v>94</v>
      </c>
      <c r="BK8" t="s">
        <v>139</v>
      </c>
      <c r="BL8" t="s">
        <v>100</v>
      </c>
      <c r="BP8" t="s">
        <v>147</v>
      </c>
      <c r="BQ8">
        <v>474</v>
      </c>
      <c r="BR8" t="s">
        <v>126</v>
      </c>
      <c r="BS8" t="s">
        <v>127</v>
      </c>
      <c r="BT8" t="s">
        <v>148</v>
      </c>
      <c r="BU8" t="s">
        <v>131</v>
      </c>
      <c r="BV8" t="s">
        <v>137</v>
      </c>
      <c r="BW8" t="s">
        <v>137</v>
      </c>
      <c r="BX8">
        <v>46160</v>
      </c>
      <c r="BZ8" t="s">
        <v>94</v>
      </c>
      <c r="CA8">
        <v>46157</v>
      </c>
      <c r="CB8" s="2">
        <v>46164</v>
      </c>
      <c r="CC8" s="2">
        <v>46170</v>
      </c>
      <c r="CD8">
        <f>+VLOOKUP(C8,[1]Sheet1!$A$1:$AC$452,18,FALSE)</f>
        <v>1973</v>
      </c>
    </row>
    <row r="9" spans="1:82" x14ac:dyDescent="0.3">
      <c r="A9" t="s">
        <v>86</v>
      </c>
      <c r="B9">
        <v>20383</v>
      </c>
      <c r="C9">
        <v>444</v>
      </c>
      <c r="D9" s="1">
        <v>46160</v>
      </c>
      <c r="E9">
        <v>21</v>
      </c>
      <c r="F9">
        <v>5</v>
      </c>
      <c r="G9" s="1">
        <v>46170</v>
      </c>
      <c r="H9" t="s">
        <v>87</v>
      </c>
      <c r="I9" t="s">
        <v>88</v>
      </c>
      <c r="J9" t="s">
        <v>134</v>
      </c>
      <c r="K9">
        <v>56</v>
      </c>
      <c r="L9" t="s">
        <v>128</v>
      </c>
      <c r="M9">
        <v>347</v>
      </c>
      <c r="N9" t="s">
        <v>125</v>
      </c>
      <c r="O9" t="s">
        <v>106</v>
      </c>
      <c r="P9" t="s">
        <v>138</v>
      </c>
      <c r="R9" t="s">
        <v>139</v>
      </c>
      <c r="T9" t="s">
        <v>156</v>
      </c>
      <c r="U9" t="s">
        <v>156</v>
      </c>
      <c r="V9" t="s">
        <v>100</v>
      </c>
      <c r="W9" t="s">
        <v>142</v>
      </c>
      <c r="X9" t="s">
        <v>143</v>
      </c>
      <c r="Y9" t="s">
        <v>95</v>
      </c>
      <c r="Z9">
        <v>15</v>
      </c>
      <c r="AA9" t="s">
        <v>89</v>
      </c>
      <c r="AB9" t="s">
        <v>89</v>
      </c>
      <c r="AC9" t="s">
        <v>90</v>
      </c>
      <c r="AD9" t="s">
        <v>111</v>
      </c>
      <c r="AE9">
        <v>80</v>
      </c>
      <c r="AF9">
        <v>1200</v>
      </c>
      <c r="AG9">
        <v>10</v>
      </c>
      <c r="AK9" t="s">
        <v>116</v>
      </c>
      <c r="AM9" t="s">
        <v>96</v>
      </c>
      <c r="AN9" t="s">
        <v>93</v>
      </c>
      <c r="AO9" t="s">
        <v>129</v>
      </c>
      <c r="AV9" t="s">
        <v>135</v>
      </c>
      <c r="AW9" t="s">
        <v>144</v>
      </c>
      <c r="AY9" t="s">
        <v>130</v>
      </c>
      <c r="AZ9" s="1">
        <v>46164</v>
      </c>
      <c r="BA9" t="s">
        <v>145</v>
      </c>
      <c r="BB9">
        <v>444</v>
      </c>
      <c r="BF9" t="s">
        <v>100</v>
      </c>
      <c r="BG9">
        <v>118</v>
      </c>
      <c r="BH9" t="s">
        <v>146</v>
      </c>
      <c r="BJ9" t="s">
        <v>94</v>
      </c>
      <c r="BK9" t="s">
        <v>139</v>
      </c>
      <c r="BL9" t="s">
        <v>100</v>
      </c>
      <c r="BP9" t="s">
        <v>147</v>
      </c>
      <c r="BQ9">
        <v>474</v>
      </c>
      <c r="BR9" t="s">
        <v>126</v>
      </c>
      <c r="BS9" t="s">
        <v>127</v>
      </c>
      <c r="BT9" t="s">
        <v>148</v>
      </c>
      <c r="BU9" t="s">
        <v>131</v>
      </c>
      <c r="BV9" t="s">
        <v>137</v>
      </c>
      <c r="BW9" t="s">
        <v>137</v>
      </c>
      <c r="BX9">
        <v>46160</v>
      </c>
      <c r="BZ9" t="s">
        <v>94</v>
      </c>
      <c r="CA9">
        <v>46157</v>
      </c>
      <c r="CB9" s="2">
        <v>46164</v>
      </c>
      <c r="CC9" s="2">
        <v>46170</v>
      </c>
      <c r="CD9">
        <f>+VLOOKUP(C9,[1]Sheet1!$A$1:$AC$452,18,FALSE)</f>
        <v>1973</v>
      </c>
    </row>
    <row r="10" spans="1:82" x14ac:dyDescent="0.3">
      <c r="A10" t="s">
        <v>86</v>
      </c>
      <c r="B10">
        <v>20384</v>
      </c>
      <c r="C10">
        <v>444</v>
      </c>
      <c r="D10" s="1">
        <v>46160</v>
      </c>
      <c r="E10">
        <v>21</v>
      </c>
      <c r="F10">
        <v>5</v>
      </c>
      <c r="G10" s="1">
        <v>46170</v>
      </c>
      <c r="H10" t="s">
        <v>87</v>
      </c>
      <c r="I10" t="s">
        <v>88</v>
      </c>
      <c r="J10" t="s">
        <v>134</v>
      </c>
      <c r="K10">
        <v>56</v>
      </c>
      <c r="L10" t="s">
        <v>128</v>
      </c>
      <c r="M10">
        <v>347</v>
      </c>
      <c r="N10" t="s">
        <v>125</v>
      </c>
      <c r="O10" t="s">
        <v>106</v>
      </c>
      <c r="P10" t="s">
        <v>138</v>
      </c>
      <c r="R10" t="s">
        <v>139</v>
      </c>
      <c r="T10" t="s">
        <v>157</v>
      </c>
      <c r="U10" t="s">
        <v>157</v>
      </c>
      <c r="V10" t="s">
        <v>100</v>
      </c>
      <c r="W10" t="s">
        <v>142</v>
      </c>
      <c r="X10" t="s">
        <v>143</v>
      </c>
      <c r="Y10" t="s">
        <v>95</v>
      </c>
      <c r="Z10">
        <v>15</v>
      </c>
      <c r="AA10" t="s">
        <v>89</v>
      </c>
      <c r="AB10" t="s">
        <v>89</v>
      </c>
      <c r="AC10" t="s">
        <v>90</v>
      </c>
      <c r="AD10" t="s">
        <v>117</v>
      </c>
      <c r="AE10">
        <v>80</v>
      </c>
      <c r="AF10">
        <v>1200</v>
      </c>
      <c r="AG10">
        <v>10</v>
      </c>
      <c r="AK10" t="s">
        <v>116</v>
      </c>
      <c r="AM10" t="s">
        <v>96</v>
      </c>
      <c r="AN10" t="s">
        <v>93</v>
      </c>
      <c r="AO10" t="s">
        <v>129</v>
      </c>
      <c r="AV10" t="s">
        <v>135</v>
      </c>
      <c r="AW10" t="s">
        <v>144</v>
      </c>
      <c r="AY10" t="s">
        <v>130</v>
      </c>
      <c r="AZ10" s="1">
        <v>46164</v>
      </c>
      <c r="BA10" t="s">
        <v>145</v>
      </c>
      <c r="BB10">
        <v>444</v>
      </c>
      <c r="BF10" t="s">
        <v>100</v>
      </c>
      <c r="BG10">
        <v>118</v>
      </c>
      <c r="BH10" t="s">
        <v>146</v>
      </c>
      <c r="BJ10" t="s">
        <v>94</v>
      </c>
      <c r="BK10" t="s">
        <v>139</v>
      </c>
      <c r="BL10" t="s">
        <v>100</v>
      </c>
      <c r="BP10" t="s">
        <v>147</v>
      </c>
      <c r="BQ10">
        <v>474</v>
      </c>
      <c r="BR10" t="s">
        <v>126</v>
      </c>
      <c r="BS10" t="s">
        <v>127</v>
      </c>
      <c r="BT10" t="s">
        <v>148</v>
      </c>
      <c r="BU10" t="s">
        <v>131</v>
      </c>
      <c r="BV10" t="s">
        <v>137</v>
      </c>
      <c r="BW10" t="s">
        <v>137</v>
      </c>
      <c r="BX10">
        <v>46160</v>
      </c>
      <c r="BZ10" t="s">
        <v>94</v>
      </c>
      <c r="CA10">
        <v>46157</v>
      </c>
      <c r="CB10" s="2">
        <v>46164</v>
      </c>
      <c r="CC10" s="2">
        <v>46170</v>
      </c>
      <c r="CD10">
        <f>+VLOOKUP(C10,[1]Sheet1!$A$1:$AC$452,18,FALSE)</f>
        <v>1973</v>
      </c>
    </row>
    <row r="11" spans="1:82" x14ac:dyDescent="0.3">
      <c r="A11" t="s">
        <v>86</v>
      </c>
      <c r="B11">
        <v>20385</v>
      </c>
      <c r="C11">
        <v>444</v>
      </c>
      <c r="D11" s="1">
        <v>46160</v>
      </c>
      <c r="E11">
        <v>21</v>
      </c>
      <c r="F11">
        <v>5</v>
      </c>
      <c r="G11" s="1">
        <v>46170</v>
      </c>
      <c r="H11" t="s">
        <v>87</v>
      </c>
      <c r="I11" t="s">
        <v>88</v>
      </c>
      <c r="J11" t="s">
        <v>134</v>
      </c>
      <c r="K11">
        <v>56</v>
      </c>
      <c r="L11" t="s">
        <v>128</v>
      </c>
      <c r="M11">
        <v>347</v>
      </c>
      <c r="N11" t="s">
        <v>125</v>
      </c>
      <c r="O11" t="s">
        <v>106</v>
      </c>
      <c r="P11" t="s">
        <v>138</v>
      </c>
      <c r="R11" t="s">
        <v>139</v>
      </c>
      <c r="T11" t="s">
        <v>158</v>
      </c>
      <c r="U11" t="s">
        <v>158</v>
      </c>
      <c r="V11" t="s">
        <v>100</v>
      </c>
      <c r="W11" t="s">
        <v>142</v>
      </c>
      <c r="X11" t="s">
        <v>143</v>
      </c>
      <c r="Y11" t="s">
        <v>95</v>
      </c>
      <c r="Z11">
        <v>15</v>
      </c>
      <c r="AA11" t="s">
        <v>89</v>
      </c>
      <c r="AB11" t="s">
        <v>89</v>
      </c>
      <c r="AC11" t="s">
        <v>90</v>
      </c>
      <c r="AD11" t="s">
        <v>109</v>
      </c>
      <c r="AE11">
        <v>80</v>
      </c>
      <c r="AF11">
        <v>1200</v>
      </c>
      <c r="AG11">
        <v>10</v>
      </c>
      <c r="AK11" t="s">
        <v>116</v>
      </c>
      <c r="AM11" t="s">
        <v>96</v>
      </c>
      <c r="AN11" t="s">
        <v>93</v>
      </c>
      <c r="AO11" t="s">
        <v>129</v>
      </c>
      <c r="AV11" t="s">
        <v>135</v>
      </c>
      <c r="AW11" t="s">
        <v>144</v>
      </c>
      <c r="AY11" t="s">
        <v>130</v>
      </c>
      <c r="AZ11" s="1">
        <v>46164</v>
      </c>
      <c r="BA11" t="s">
        <v>145</v>
      </c>
      <c r="BB11">
        <v>444</v>
      </c>
      <c r="BF11" t="s">
        <v>100</v>
      </c>
      <c r="BG11">
        <v>118</v>
      </c>
      <c r="BH11" t="s">
        <v>146</v>
      </c>
      <c r="BJ11" t="s">
        <v>94</v>
      </c>
      <c r="BK11" t="s">
        <v>139</v>
      </c>
      <c r="BL11" t="s">
        <v>100</v>
      </c>
      <c r="BP11" t="s">
        <v>147</v>
      </c>
      <c r="BQ11">
        <v>474</v>
      </c>
      <c r="BR11" t="s">
        <v>126</v>
      </c>
      <c r="BS11" t="s">
        <v>127</v>
      </c>
      <c r="BT11" t="s">
        <v>148</v>
      </c>
      <c r="BU11" t="s">
        <v>131</v>
      </c>
      <c r="BV11" t="s">
        <v>137</v>
      </c>
      <c r="BW11" t="s">
        <v>137</v>
      </c>
      <c r="BX11">
        <v>46160</v>
      </c>
      <c r="BZ11" t="s">
        <v>94</v>
      </c>
      <c r="CA11">
        <v>46157</v>
      </c>
      <c r="CB11" s="2">
        <v>46164</v>
      </c>
      <c r="CC11" s="2">
        <v>46170</v>
      </c>
      <c r="CD11">
        <f>+VLOOKUP(C11,[1]Sheet1!$A$1:$AC$452,18,FALSE)</f>
        <v>1973</v>
      </c>
    </row>
    <row r="12" spans="1:82" x14ac:dyDescent="0.3">
      <c r="A12" t="s">
        <v>86</v>
      </c>
      <c r="B12">
        <v>20386</v>
      </c>
      <c r="C12">
        <v>444</v>
      </c>
      <c r="D12" s="1">
        <v>46160</v>
      </c>
      <c r="E12">
        <v>21</v>
      </c>
      <c r="F12">
        <v>5</v>
      </c>
      <c r="G12" s="1">
        <v>46170</v>
      </c>
      <c r="H12" t="s">
        <v>87</v>
      </c>
      <c r="I12" t="s">
        <v>88</v>
      </c>
      <c r="J12" t="s">
        <v>134</v>
      </c>
      <c r="K12">
        <v>56</v>
      </c>
      <c r="L12" t="s">
        <v>128</v>
      </c>
      <c r="M12">
        <v>347</v>
      </c>
      <c r="N12" t="s">
        <v>125</v>
      </c>
      <c r="O12" t="s">
        <v>106</v>
      </c>
      <c r="P12" t="s">
        <v>138</v>
      </c>
      <c r="R12" t="s">
        <v>139</v>
      </c>
      <c r="T12" t="s">
        <v>159</v>
      </c>
      <c r="U12" t="s">
        <v>159</v>
      </c>
      <c r="V12" t="s">
        <v>100</v>
      </c>
      <c r="W12" t="s">
        <v>142</v>
      </c>
      <c r="X12" t="s">
        <v>143</v>
      </c>
      <c r="Y12" t="s">
        <v>95</v>
      </c>
      <c r="Z12">
        <v>15</v>
      </c>
      <c r="AA12" t="s">
        <v>89</v>
      </c>
      <c r="AB12" t="s">
        <v>89</v>
      </c>
      <c r="AC12" t="s">
        <v>90</v>
      </c>
      <c r="AD12" t="s">
        <v>111</v>
      </c>
      <c r="AE12">
        <v>80</v>
      </c>
      <c r="AF12">
        <v>1200</v>
      </c>
      <c r="AG12">
        <v>10</v>
      </c>
      <c r="AK12" t="s">
        <v>116</v>
      </c>
      <c r="AM12" t="s">
        <v>96</v>
      </c>
      <c r="AN12" t="s">
        <v>93</v>
      </c>
      <c r="AO12" t="s">
        <v>129</v>
      </c>
      <c r="AV12" t="s">
        <v>135</v>
      </c>
      <c r="AW12" t="s">
        <v>144</v>
      </c>
      <c r="AY12" t="s">
        <v>130</v>
      </c>
      <c r="AZ12" s="1">
        <v>46164</v>
      </c>
      <c r="BA12" t="s">
        <v>145</v>
      </c>
      <c r="BB12">
        <v>444</v>
      </c>
      <c r="BF12" t="s">
        <v>100</v>
      </c>
      <c r="BG12">
        <v>118</v>
      </c>
      <c r="BH12" t="s">
        <v>146</v>
      </c>
      <c r="BJ12" t="s">
        <v>94</v>
      </c>
      <c r="BK12" t="s">
        <v>139</v>
      </c>
      <c r="BL12" t="s">
        <v>100</v>
      </c>
      <c r="BP12" t="s">
        <v>147</v>
      </c>
      <c r="BQ12">
        <v>474</v>
      </c>
      <c r="BR12" t="s">
        <v>126</v>
      </c>
      <c r="BS12" t="s">
        <v>127</v>
      </c>
      <c r="BT12" t="s">
        <v>148</v>
      </c>
      <c r="BU12" t="s">
        <v>131</v>
      </c>
      <c r="BV12" t="s">
        <v>137</v>
      </c>
      <c r="BW12" t="s">
        <v>137</v>
      </c>
      <c r="BX12">
        <v>46160</v>
      </c>
      <c r="BZ12" t="s">
        <v>94</v>
      </c>
      <c r="CA12">
        <v>46157</v>
      </c>
      <c r="CB12" s="2">
        <v>46164</v>
      </c>
      <c r="CC12" s="2">
        <v>46170</v>
      </c>
      <c r="CD12">
        <f>+VLOOKUP(C12,[1]Sheet1!$A$1:$AC$452,18,FALSE)</f>
        <v>1973</v>
      </c>
    </row>
    <row r="13" spans="1:82" x14ac:dyDescent="0.3">
      <c r="A13" t="s">
        <v>86</v>
      </c>
      <c r="B13">
        <v>20387</v>
      </c>
      <c r="C13">
        <v>444</v>
      </c>
      <c r="D13" s="1">
        <v>46160</v>
      </c>
      <c r="E13">
        <v>21</v>
      </c>
      <c r="F13">
        <v>5</v>
      </c>
      <c r="G13" s="1">
        <v>46170</v>
      </c>
      <c r="H13" t="s">
        <v>87</v>
      </c>
      <c r="I13" t="s">
        <v>88</v>
      </c>
      <c r="J13" t="s">
        <v>134</v>
      </c>
      <c r="K13">
        <v>56</v>
      </c>
      <c r="L13" t="s">
        <v>128</v>
      </c>
      <c r="M13">
        <v>347</v>
      </c>
      <c r="N13" t="s">
        <v>125</v>
      </c>
      <c r="O13" t="s">
        <v>106</v>
      </c>
      <c r="P13" t="s">
        <v>138</v>
      </c>
      <c r="R13" t="s">
        <v>139</v>
      </c>
      <c r="T13" t="s">
        <v>160</v>
      </c>
      <c r="U13" t="s">
        <v>160</v>
      </c>
      <c r="V13" t="s">
        <v>100</v>
      </c>
      <c r="W13" t="s">
        <v>142</v>
      </c>
      <c r="X13" t="s">
        <v>143</v>
      </c>
      <c r="Y13" t="s">
        <v>95</v>
      </c>
      <c r="Z13">
        <v>15</v>
      </c>
      <c r="AA13" t="s">
        <v>89</v>
      </c>
      <c r="AB13" t="s">
        <v>89</v>
      </c>
      <c r="AC13" t="s">
        <v>90</v>
      </c>
      <c r="AD13" t="s">
        <v>117</v>
      </c>
      <c r="AE13">
        <v>80</v>
      </c>
      <c r="AF13">
        <v>1200</v>
      </c>
      <c r="AG13">
        <v>10</v>
      </c>
      <c r="AK13" t="s">
        <v>116</v>
      </c>
      <c r="AM13" t="s">
        <v>96</v>
      </c>
      <c r="AN13" t="s">
        <v>93</v>
      </c>
      <c r="AO13" t="s">
        <v>129</v>
      </c>
      <c r="AV13" t="s">
        <v>135</v>
      </c>
      <c r="AW13" t="s">
        <v>144</v>
      </c>
      <c r="AY13" t="s">
        <v>130</v>
      </c>
      <c r="AZ13" s="1">
        <v>46164</v>
      </c>
      <c r="BA13" t="s">
        <v>145</v>
      </c>
      <c r="BB13">
        <v>444</v>
      </c>
      <c r="BF13" t="s">
        <v>100</v>
      </c>
      <c r="BG13">
        <v>118</v>
      </c>
      <c r="BH13" t="s">
        <v>146</v>
      </c>
      <c r="BJ13" t="s">
        <v>94</v>
      </c>
      <c r="BK13" t="s">
        <v>139</v>
      </c>
      <c r="BL13" t="s">
        <v>100</v>
      </c>
      <c r="BP13" t="s">
        <v>147</v>
      </c>
      <c r="BQ13">
        <v>474</v>
      </c>
      <c r="BR13" t="s">
        <v>126</v>
      </c>
      <c r="BS13" t="s">
        <v>127</v>
      </c>
      <c r="BT13" t="s">
        <v>148</v>
      </c>
      <c r="BU13" t="s">
        <v>131</v>
      </c>
      <c r="BV13" t="s">
        <v>137</v>
      </c>
      <c r="BW13" t="s">
        <v>137</v>
      </c>
      <c r="BX13">
        <v>46160</v>
      </c>
      <c r="BZ13" t="s">
        <v>94</v>
      </c>
      <c r="CA13">
        <v>46157</v>
      </c>
      <c r="CB13" s="2">
        <v>46164</v>
      </c>
      <c r="CC13" s="2">
        <v>46170</v>
      </c>
      <c r="CD13">
        <f>+VLOOKUP(C13,[1]Sheet1!$A$1:$AC$452,18,FALSE)</f>
        <v>1973</v>
      </c>
    </row>
    <row r="14" spans="1:82" x14ac:dyDescent="0.3">
      <c r="A14" t="s">
        <v>86</v>
      </c>
      <c r="B14">
        <v>20388</v>
      </c>
      <c r="C14">
        <v>444</v>
      </c>
      <c r="D14" s="1">
        <v>46160</v>
      </c>
      <c r="E14">
        <v>21</v>
      </c>
      <c r="F14">
        <v>5</v>
      </c>
      <c r="G14" s="1">
        <v>46170</v>
      </c>
      <c r="H14" t="s">
        <v>87</v>
      </c>
      <c r="I14" t="s">
        <v>88</v>
      </c>
      <c r="J14" t="s">
        <v>134</v>
      </c>
      <c r="K14">
        <v>56</v>
      </c>
      <c r="L14" t="s">
        <v>128</v>
      </c>
      <c r="M14">
        <v>347</v>
      </c>
      <c r="N14" t="s">
        <v>125</v>
      </c>
      <c r="O14" t="s">
        <v>106</v>
      </c>
      <c r="P14" t="s">
        <v>138</v>
      </c>
      <c r="R14" t="s">
        <v>139</v>
      </c>
      <c r="T14" t="s">
        <v>161</v>
      </c>
      <c r="U14" t="s">
        <v>161</v>
      </c>
      <c r="V14" t="s">
        <v>100</v>
      </c>
      <c r="W14" t="s">
        <v>142</v>
      </c>
      <c r="X14" t="s">
        <v>143</v>
      </c>
      <c r="Y14" t="s">
        <v>95</v>
      </c>
      <c r="Z14">
        <v>15</v>
      </c>
      <c r="AA14" t="s">
        <v>89</v>
      </c>
      <c r="AB14" t="s">
        <v>89</v>
      </c>
      <c r="AC14" t="s">
        <v>90</v>
      </c>
      <c r="AD14" t="s">
        <v>119</v>
      </c>
      <c r="AE14">
        <v>80</v>
      </c>
      <c r="AF14">
        <v>1200</v>
      </c>
      <c r="AG14">
        <v>10</v>
      </c>
      <c r="AK14" t="s">
        <v>116</v>
      </c>
      <c r="AM14" t="s">
        <v>96</v>
      </c>
      <c r="AN14" t="s">
        <v>93</v>
      </c>
      <c r="AO14" t="s">
        <v>129</v>
      </c>
      <c r="AV14" t="s">
        <v>135</v>
      </c>
      <c r="AW14" t="s">
        <v>144</v>
      </c>
      <c r="AY14" t="s">
        <v>130</v>
      </c>
      <c r="AZ14" s="1">
        <v>46164</v>
      </c>
      <c r="BA14" t="s">
        <v>145</v>
      </c>
      <c r="BB14">
        <v>444</v>
      </c>
      <c r="BF14" t="s">
        <v>100</v>
      </c>
      <c r="BG14">
        <v>118</v>
      </c>
      <c r="BH14" t="s">
        <v>146</v>
      </c>
      <c r="BJ14" t="s">
        <v>94</v>
      </c>
      <c r="BK14" t="s">
        <v>139</v>
      </c>
      <c r="BL14" t="s">
        <v>100</v>
      </c>
      <c r="BP14" t="s">
        <v>147</v>
      </c>
      <c r="BQ14">
        <v>474</v>
      </c>
      <c r="BR14" t="s">
        <v>126</v>
      </c>
      <c r="BS14" t="s">
        <v>127</v>
      </c>
      <c r="BT14" t="s">
        <v>148</v>
      </c>
      <c r="BU14" t="s">
        <v>131</v>
      </c>
      <c r="BV14" t="s">
        <v>137</v>
      </c>
      <c r="BW14" t="s">
        <v>137</v>
      </c>
      <c r="BX14">
        <v>46160</v>
      </c>
      <c r="BZ14" t="s">
        <v>94</v>
      </c>
      <c r="CA14">
        <v>46157</v>
      </c>
      <c r="CB14" s="2">
        <v>46164</v>
      </c>
      <c r="CC14" s="2">
        <v>46170</v>
      </c>
      <c r="CD14">
        <f>+VLOOKUP(C14,[1]Sheet1!$A$1:$AC$452,18,FALSE)</f>
        <v>1973</v>
      </c>
    </row>
    <row r="15" spans="1:82" x14ac:dyDescent="0.3">
      <c r="A15" t="s">
        <v>86</v>
      </c>
      <c r="B15">
        <v>20389</v>
      </c>
      <c r="C15">
        <v>444</v>
      </c>
      <c r="D15" s="1">
        <v>46160</v>
      </c>
      <c r="E15">
        <v>21</v>
      </c>
      <c r="F15">
        <v>5</v>
      </c>
      <c r="G15" s="1">
        <v>46170</v>
      </c>
      <c r="H15" t="s">
        <v>87</v>
      </c>
      <c r="I15" t="s">
        <v>88</v>
      </c>
      <c r="J15" t="s">
        <v>134</v>
      </c>
      <c r="K15">
        <v>56</v>
      </c>
      <c r="L15" t="s">
        <v>128</v>
      </c>
      <c r="M15">
        <v>347</v>
      </c>
      <c r="N15" t="s">
        <v>125</v>
      </c>
      <c r="O15" t="s">
        <v>106</v>
      </c>
      <c r="P15" t="s">
        <v>138</v>
      </c>
      <c r="R15" t="s">
        <v>139</v>
      </c>
      <c r="T15" t="s">
        <v>162</v>
      </c>
      <c r="U15" t="s">
        <v>162</v>
      </c>
      <c r="V15" t="s">
        <v>100</v>
      </c>
      <c r="W15" t="s">
        <v>142</v>
      </c>
      <c r="X15" t="s">
        <v>143</v>
      </c>
      <c r="Y15" t="s">
        <v>95</v>
      </c>
      <c r="Z15">
        <v>15</v>
      </c>
      <c r="AA15" t="s">
        <v>89</v>
      </c>
      <c r="AB15" t="s">
        <v>89</v>
      </c>
      <c r="AC15" t="s">
        <v>90</v>
      </c>
      <c r="AD15" t="s">
        <v>111</v>
      </c>
      <c r="AE15">
        <v>80</v>
      </c>
      <c r="AF15">
        <v>1200</v>
      </c>
      <c r="AG15">
        <v>10</v>
      </c>
      <c r="AK15" t="s">
        <v>116</v>
      </c>
      <c r="AM15" t="s">
        <v>96</v>
      </c>
      <c r="AN15" t="s">
        <v>93</v>
      </c>
      <c r="AO15" t="s">
        <v>129</v>
      </c>
      <c r="AV15" t="s">
        <v>135</v>
      </c>
      <c r="AW15" t="s">
        <v>144</v>
      </c>
      <c r="AY15" t="s">
        <v>130</v>
      </c>
      <c r="AZ15" s="1">
        <v>46164</v>
      </c>
      <c r="BA15" t="s">
        <v>145</v>
      </c>
      <c r="BB15">
        <v>444</v>
      </c>
      <c r="BF15" t="s">
        <v>100</v>
      </c>
      <c r="BG15">
        <v>118</v>
      </c>
      <c r="BH15" t="s">
        <v>146</v>
      </c>
      <c r="BJ15" t="s">
        <v>94</v>
      </c>
      <c r="BK15" t="s">
        <v>139</v>
      </c>
      <c r="BL15" t="s">
        <v>100</v>
      </c>
      <c r="BP15" t="s">
        <v>147</v>
      </c>
      <c r="BQ15">
        <v>474</v>
      </c>
      <c r="BR15" t="s">
        <v>126</v>
      </c>
      <c r="BS15" t="s">
        <v>127</v>
      </c>
      <c r="BT15" t="s">
        <v>148</v>
      </c>
      <c r="BU15" t="s">
        <v>131</v>
      </c>
      <c r="BV15" t="s">
        <v>137</v>
      </c>
      <c r="BW15" t="s">
        <v>137</v>
      </c>
      <c r="BX15">
        <v>46160</v>
      </c>
      <c r="BZ15" t="s">
        <v>94</v>
      </c>
      <c r="CA15">
        <v>46157</v>
      </c>
      <c r="CB15" s="2">
        <v>46164</v>
      </c>
      <c r="CC15" s="2">
        <v>46170</v>
      </c>
      <c r="CD15">
        <f>+VLOOKUP(C15,[1]Sheet1!$A$1:$AC$452,18,FALSE)</f>
        <v>1973</v>
      </c>
    </row>
    <row r="16" spans="1:82" x14ac:dyDescent="0.3">
      <c r="A16" t="s">
        <v>86</v>
      </c>
      <c r="B16">
        <v>20390</v>
      </c>
      <c r="C16">
        <v>444</v>
      </c>
      <c r="D16" s="1">
        <v>46160</v>
      </c>
      <c r="E16">
        <v>21</v>
      </c>
      <c r="F16">
        <v>5</v>
      </c>
      <c r="G16" s="1">
        <v>46170</v>
      </c>
      <c r="H16" t="s">
        <v>87</v>
      </c>
      <c r="I16" t="s">
        <v>88</v>
      </c>
      <c r="J16" t="s">
        <v>134</v>
      </c>
      <c r="K16">
        <v>56</v>
      </c>
      <c r="L16" t="s">
        <v>128</v>
      </c>
      <c r="M16">
        <v>347</v>
      </c>
      <c r="N16" t="s">
        <v>125</v>
      </c>
      <c r="O16" t="s">
        <v>106</v>
      </c>
      <c r="P16" t="s">
        <v>138</v>
      </c>
      <c r="R16" t="s">
        <v>139</v>
      </c>
      <c r="T16" t="s">
        <v>163</v>
      </c>
      <c r="U16" t="s">
        <v>163</v>
      </c>
      <c r="V16" t="s">
        <v>100</v>
      </c>
      <c r="W16" t="s">
        <v>142</v>
      </c>
      <c r="X16" t="s">
        <v>143</v>
      </c>
      <c r="Y16" t="s">
        <v>95</v>
      </c>
      <c r="Z16">
        <v>15</v>
      </c>
      <c r="AA16" t="s">
        <v>89</v>
      </c>
      <c r="AB16" t="s">
        <v>89</v>
      </c>
      <c r="AC16" t="s">
        <v>90</v>
      </c>
      <c r="AD16" t="s">
        <v>117</v>
      </c>
      <c r="AE16">
        <v>80</v>
      </c>
      <c r="AF16">
        <v>1200</v>
      </c>
      <c r="AG16">
        <v>10</v>
      </c>
      <c r="AK16" t="s">
        <v>116</v>
      </c>
      <c r="AM16" t="s">
        <v>96</v>
      </c>
      <c r="AN16" t="s">
        <v>93</v>
      </c>
      <c r="AO16" t="s">
        <v>129</v>
      </c>
      <c r="AV16" t="s">
        <v>135</v>
      </c>
      <c r="AW16" t="s">
        <v>144</v>
      </c>
      <c r="AY16" t="s">
        <v>130</v>
      </c>
      <c r="AZ16" s="1">
        <v>46164</v>
      </c>
      <c r="BA16" t="s">
        <v>145</v>
      </c>
      <c r="BB16">
        <v>444</v>
      </c>
      <c r="BF16" t="s">
        <v>100</v>
      </c>
      <c r="BG16">
        <v>118</v>
      </c>
      <c r="BH16" t="s">
        <v>146</v>
      </c>
      <c r="BJ16" t="s">
        <v>94</v>
      </c>
      <c r="BK16" t="s">
        <v>139</v>
      </c>
      <c r="BL16" t="s">
        <v>100</v>
      </c>
      <c r="BP16" t="s">
        <v>147</v>
      </c>
      <c r="BQ16">
        <v>474</v>
      </c>
      <c r="BR16" t="s">
        <v>126</v>
      </c>
      <c r="BS16" t="s">
        <v>127</v>
      </c>
      <c r="BT16" t="s">
        <v>148</v>
      </c>
      <c r="BU16" t="s">
        <v>131</v>
      </c>
      <c r="BV16" t="s">
        <v>137</v>
      </c>
      <c r="BW16" t="s">
        <v>137</v>
      </c>
      <c r="BX16">
        <v>46160</v>
      </c>
      <c r="BZ16" t="s">
        <v>94</v>
      </c>
      <c r="CA16">
        <v>46157</v>
      </c>
      <c r="CB16" s="2">
        <v>46164</v>
      </c>
      <c r="CC16" s="2">
        <v>46170</v>
      </c>
      <c r="CD16">
        <f>+VLOOKUP(C16,[1]Sheet1!$A$1:$AC$452,18,FALSE)</f>
        <v>1973</v>
      </c>
    </row>
    <row r="17" spans="1:82" x14ac:dyDescent="0.3">
      <c r="A17" t="s">
        <v>86</v>
      </c>
      <c r="B17">
        <v>20391</v>
      </c>
      <c r="C17">
        <v>444</v>
      </c>
      <c r="D17" s="1">
        <v>46160</v>
      </c>
      <c r="E17">
        <v>21</v>
      </c>
      <c r="F17">
        <v>5</v>
      </c>
      <c r="G17" s="1">
        <v>46170</v>
      </c>
      <c r="H17" t="s">
        <v>87</v>
      </c>
      <c r="I17" t="s">
        <v>88</v>
      </c>
      <c r="J17" t="s">
        <v>134</v>
      </c>
      <c r="K17">
        <v>56</v>
      </c>
      <c r="L17" t="s">
        <v>128</v>
      </c>
      <c r="M17">
        <v>347</v>
      </c>
      <c r="N17" t="s">
        <v>125</v>
      </c>
      <c r="O17" t="s">
        <v>106</v>
      </c>
      <c r="P17" t="s">
        <v>138</v>
      </c>
      <c r="R17" t="s">
        <v>139</v>
      </c>
      <c r="T17" t="s">
        <v>164</v>
      </c>
      <c r="U17" t="s">
        <v>164</v>
      </c>
      <c r="V17" t="s">
        <v>100</v>
      </c>
      <c r="W17" t="s">
        <v>142</v>
      </c>
      <c r="X17" t="s">
        <v>143</v>
      </c>
      <c r="Y17" t="s">
        <v>95</v>
      </c>
      <c r="Z17">
        <v>15</v>
      </c>
      <c r="AA17" t="s">
        <v>89</v>
      </c>
      <c r="AB17" t="s">
        <v>89</v>
      </c>
      <c r="AC17" t="s">
        <v>90</v>
      </c>
      <c r="AD17" t="s">
        <v>111</v>
      </c>
      <c r="AE17">
        <v>80</v>
      </c>
      <c r="AF17">
        <v>1200</v>
      </c>
      <c r="AG17">
        <v>10</v>
      </c>
      <c r="AK17" t="s">
        <v>116</v>
      </c>
      <c r="AM17" t="s">
        <v>96</v>
      </c>
      <c r="AN17" t="s">
        <v>93</v>
      </c>
      <c r="AO17" t="s">
        <v>129</v>
      </c>
      <c r="AV17" t="s">
        <v>135</v>
      </c>
      <c r="AW17" t="s">
        <v>144</v>
      </c>
      <c r="AY17" t="s">
        <v>130</v>
      </c>
      <c r="AZ17" s="1">
        <v>46164</v>
      </c>
      <c r="BA17" t="s">
        <v>145</v>
      </c>
      <c r="BB17">
        <v>444</v>
      </c>
      <c r="BF17" t="s">
        <v>100</v>
      </c>
      <c r="BG17">
        <v>118</v>
      </c>
      <c r="BH17" t="s">
        <v>146</v>
      </c>
      <c r="BJ17" t="s">
        <v>94</v>
      </c>
      <c r="BK17" t="s">
        <v>139</v>
      </c>
      <c r="BL17" t="s">
        <v>100</v>
      </c>
      <c r="BP17" t="s">
        <v>147</v>
      </c>
      <c r="BQ17">
        <v>474</v>
      </c>
      <c r="BR17" t="s">
        <v>126</v>
      </c>
      <c r="BS17" t="s">
        <v>127</v>
      </c>
      <c r="BT17" t="s">
        <v>148</v>
      </c>
      <c r="BU17" t="s">
        <v>131</v>
      </c>
      <c r="BV17" t="s">
        <v>137</v>
      </c>
      <c r="BW17" t="s">
        <v>137</v>
      </c>
      <c r="BX17">
        <v>46160</v>
      </c>
      <c r="BZ17" t="s">
        <v>94</v>
      </c>
      <c r="CA17">
        <v>46157</v>
      </c>
      <c r="CB17" s="2">
        <v>46164</v>
      </c>
      <c r="CC17" s="2">
        <v>46170</v>
      </c>
      <c r="CD17">
        <f>+VLOOKUP(C17,[1]Sheet1!$A$1:$AC$452,18,FALSE)</f>
        <v>1973</v>
      </c>
    </row>
    <row r="18" spans="1:82" x14ac:dyDescent="0.3">
      <c r="A18" t="s">
        <v>86</v>
      </c>
      <c r="B18">
        <v>20392</v>
      </c>
      <c r="C18">
        <v>444</v>
      </c>
      <c r="D18" s="1">
        <v>46160</v>
      </c>
      <c r="E18">
        <v>21</v>
      </c>
      <c r="F18">
        <v>5</v>
      </c>
      <c r="G18" s="1">
        <v>46170</v>
      </c>
      <c r="H18" t="s">
        <v>87</v>
      </c>
      <c r="I18" t="s">
        <v>88</v>
      </c>
      <c r="J18" t="s">
        <v>134</v>
      </c>
      <c r="K18">
        <v>56</v>
      </c>
      <c r="L18" t="s">
        <v>128</v>
      </c>
      <c r="M18">
        <v>347</v>
      </c>
      <c r="N18" t="s">
        <v>125</v>
      </c>
      <c r="O18" t="s">
        <v>106</v>
      </c>
      <c r="P18" t="s">
        <v>138</v>
      </c>
      <c r="R18" t="s">
        <v>139</v>
      </c>
      <c r="T18" t="s">
        <v>165</v>
      </c>
      <c r="U18" t="s">
        <v>165</v>
      </c>
      <c r="V18" t="s">
        <v>100</v>
      </c>
      <c r="W18" t="s">
        <v>142</v>
      </c>
      <c r="X18" t="s">
        <v>143</v>
      </c>
      <c r="Y18" t="s">
        <v>95</v>
      </c>
      <c r="Z18">
        <v>15</v>
      </c>
      <c r="AA18" t="s">
        <v>89</v>
      </c>
      <c r="AB18" t="s">
        <v>89</v>
      </c>
      <c r="AC18" t="s">
        <v>90</v>
      </c>
      <c r="AD18" t="s">
        <v>117</v>
      </c>
      <c r="AE18">
        <v>80</v>
      </c>
      <c r="AF18">
        <v>1200</v>
      </c>
      <c r="AG18">
        <v>10</v>
      </c>
      <c r="AK18" t="s">
        <v>116</v>
      </c>
      <c r="AM18" t="s">
        <v>96</v>
      </c>
      <c r="AN18" t="s">
        <v>93</v>
      </c>
      <c r="AO18" t="s">
        <v>129</v>
      </c>
      <c r="AV18" t="s">
        <v>135</v>
      </c>
      <c r="AW18" t="s">
        <v>144</v>
      </c>
      <c r="AY18" t="s">
        <v>130</v>
      </c>
      <c r="AZ18" s="1">
        <v>46164</v>
      </c>
      <c r="BA18" t="s">
        <v>145</v>
      </c>
      <c r="BB18">
        <v>444</v>
      </c>
      <c r="BF18" t="s">
        <v>100</v>
      </c>
      <c r="BG18">
        <v>118</v>
      </c>
      <c r="BH18" t="s">
        <v>146</v>
      </c>
      <c r="BJ18" t="s">
        <v>94</v>
      </c>
      <c r="BK18" t="s">
        <v>139</v>
      </c>
      <c r="BL18" t="s">
        <v>100</v>
      </c>
      <c r="BP18" t="s">
        <v>147</v>
      </c>
      <c r="BQ18">
        <v>474</v>
      </c>
      <c r="BR18" t="s">
        <v>126</v>
      </c>
      <c r="BS18" t="s">
        <v>127</v>
      </c>
      <c r="BT18" t="s">
        <v>148</v>
      </c>
      <c r="BU18" t="s">
        <v>131</v>
      </c>
      <c r="BV18" t="s">
        <v>137</v>
      </c>
      <c r="BW18" t="s">
        <v>137</v>
      </c>
      <c r="BX18">
        <v>46160</v>
      </c>
      <c r="BZ18" t="s">
        <v>94</v>
      </c>
      <c r="CA18">
        <v>46157</v>
      </c>
      <c r="CB18" s="2">
        <v>46164</v>
      </c>
      <c r="CC18" s="2">
        <v>46170</v>
      </c>
      <c r="CD18">
        <f>+VLOOKUP(C18,[1]Sheet1!$A$1:$AC$452,18,FALSE)</f>
        <v>1973</v>
      </c>
    </row>
    <row r="19" spans="1:82" x14ac:dyDescent="0.3">
      <c r="A19" t="s">
        <v>86</v>
      </c>
      <c r="B19">
        <v>20393</v>
      </c>
      <c r="C19">
        <v>444</v>
      </c>
      <c r="D19" s="1">
        <v>46160</v>
      </c>
      <c r="E19">
        <v>21</v>
      </c>
      <c r="F19">
        <v>5</v>
      </c>
      <c r="G19" s="1">
        <v>46170</v>
      </c>
      <c r="H19" t="s">
        <v>87</v>
      </c>
      <c r="I19" t="s">
        <v>88</v>
      </c>
      <c r="J19" t="s">
        <v>134</v>
      </c>
      <c r="K19">
        <v>56</v>
      </c>
      <c r="L19" t="s">
        <v>128</v>
      </c>
      <c r="M19">
        <v>347</v>
      </c>
      <c r="N19" t="s">
        <v>125</v>
      </c>
      <c r="O19" t="s">
        <v>106</v>
      </c>
      <c r="P19" t="s">
        <v>138</v>
      </c>
      <c r="R19" t="s">
        <v>139</v>
      </c>
      <c r="T19" t="s">
        <v>166</v>
      </c>
      <c r="U19" t="s">
        <v>166</v>
      </c>
      <c r="V19" t="s">
        <v>100</v>
      </c>
      <c r="W19" t="s">
        <v>142</v>
      </c>
      <c r="X19" t="s">
        <v>143</v>
      </c>
      <c r="Y19" t="s">
        <v>95</v>
      </c>
      <c r="Z19">
        <v>15</v>
      </c>
      <c r="AA19" t="s">
        <v>89</v>
      </c>
      <c r="AB19" t="s">
        <v>89</v>
      </c>
      <c r="AC19" t="s">
        <v>90</v>
      </c>
      <c r="AD19" t="s">
        <v>111</v>
      </c>
      <c r="AE19">
        <v>80</v>
      </c>
      <c r="AF19">
        <v>1200</v>
      </c>
      <c r="AG19">
        <v>10</v>
      </c>
      <c r="AK19" t="s">
        <v>116</v>
      </c>
      <c r="AM19" t="s">
        <v>96</v>
      </c>
      <c r="AN19" t="s">
        <v>93</v>
      </c>
      <c r="AO19" t="s">
        <v>129</v>
      </c>
      <c r="AV19" t="s">
        <v>135</v>
      </c>
      <c r="AW19" t="s">
        <v>144</v>
      </c>
      <c r="AY19" t="s">
        <v>130</v>
      </c>
      <c r="AZ19" s="1">
        <v>46164</v>
      </c>
      <c r="BA19" t="s">
        <v>145</v>
      </c>
      <c r="BB19">
        <v>444</v>
      </c>
      <c r="BF19" t="s">
        <v>100</v>
      </c>
      <c r="BG19">
        <v>118</v>
      </c>
      <c r="BH19" t="s">
        <v>146</v>
      </c>
      <c r="BJ19" t="s">
        <v>94</v>
      </c>
      <c r="BK19" t="s">
        <v>139</v>
      </c>
      <c r="BL19" t="s">
        <v>100</v>
      </c>
      <c r="BP19" t="s">
        <v>147</v>
      </c>
      <c r="BQ19">
        <v>474</v>
      </c>
      <c r="BR19" t="s">
        <v>126</v>
      </c>
      <c r="BS19" t="s">
        <v>127</v>
      </c>
      <c r="BT19" t="s">
        <v>148</v>
      </c>
      <c r="BU19" t="s">
        <v>131</v>
      </c>
      <c r="BV19" t="s">
        <v>137</v>
      </c>
      <c r="BW19" t="s">
        <v>137</v>
      </c>
      <c r="BX19">
        <v>46160</v>
      </c>
      <c r="BZ19" t="s">
        <v>94</v>
      </c>
      <c r="CA19">
        <v>46157</v>
      </c>
      <c r="CB19" s="2">
        <v>46164</v>
      </c>
      <c r="CC19" s="2">
        <v>46170</v>
      </c>
      <c r="CD19">
        <f>+VLOOKUP(C19,[1]Sheet1!$A$1:$AC$452,18,FALSE)</f>
        <v>1973</v>
      </c>
    </row>
    <row r="20" spans="1:82" x14ac:dyDescent="0.3">
      <c r="A20" t="s">
        <v>86</v>
      </c>
      <c r="B20">
        <v>20394</v>
      </c>
      <c r="C20">
        <v>444</v>
      </c>
      <c r="D20" s="1">
        <v>46160</v>
      </c>
      <c r="E20">
        <v>21</v>
      </c>
      <c r="F20">
        <v>5</v>
      </c>
      <c r="G20" s="1">
        <v>46170</v>
      </c>
      <c r="H20" t="s">
        <v>87</v>
      </c>
      <c r="I20" t="s">
        <v>88</v>
      </c>
      <c r="J20" t="s">
        <v>134</v>
      </c>
      <c r="K20">
        <v>56</v>
      </c>
      <c r="L20" t="s">
        <v>128</v>
      </c>
      <c r="M20">
        <v>347</v>
      </c>
      <c r="N20" t="s">
        <v>125</v>
      </c>
      <c r="O20" t="s">
        <v>106</v>
      </c>
      <c r="P20" t="s">
        <v>138</v>
      </c>
      <c r="R20" t="s">
        <v>139</v>
      </c>
      <c r="T20" t="s">
        <v>167</v>
      </c>
      <c r="U20" t="s">
        <v>167</v>
      </c>
      <c r="V20" t="s">
        <v>100</v>
      </c>
      <c r="W20" t="s">
        <v>142</v>
      </c>
      <c r="X20" t="s">
        <v>143</v>
      </c>
      <c r="Y20" t="s">
        <v>95</v>
      </c>
      <c r="Z20">
        <v>15</v>
      </c>
      <c r="AA20" t="s">
        <v>89</v>
      </c>
      <c r="AB20" t="s">
        <v>89</v>
      </c>
      <c r="AC20" t="s">
        <v>90</v>
      </c>
      <c r="AD20" t="s">
        <v>109</v>
      </c>
      <c r="AE20">
        <v>80</v>
      </c>
      <c r="AF20">
        <v>1200</v>
      </c>
      <c r="AG20">
        <v>10</v>
      </c>
      <c r="AK20" t="s">
        <v>116</v>
      </c>
      <c r="AM20" t="s">
        <v>96</v>
      </c>
      <c r="AN20" t="s">
        <v>93</v>
      </c>
      <c r="AO20" t="s">
        <v>129</v>
      </c>
      <c r="AV20" t="s">
        <v>135</v>
      </c>
      <c r="AW20" t="s">
        <v>144</v>
      </c>
      <c r="AY20" t="s">
        <v>130</v>
      </c>
      <c r="AZ20" s="1">
        <v>46164</v>
      </c>
      <c r="BA20" t="s">
        <v>145</v>
      </c>
      <c r="BB20">
        <v>444</v>
      </c>
      <c r="BF20" t="s">
        <v>100</v>
      </c>
      <c r="BG20">
        <v>118</v>
      </c>
      <c r="BH20" t="s">
        <v>146</v>
      </c>
      <c r="BJ20" t="s">
        <v>94</v>
      </c>
      <c r="BK20" t="s">
        <v>139</v>
      </c>
      <c r="BL20" t="s">
        <v>100</v>
      </c>
      <c r="BP20" t="s">
        <v>147</v>
      </c>
      <c r="BQ20">
        <v>474</v>
      </c>
      <c r="BR20" t="s">
        <v>126</v>
      </c>
      <c r="BS20" t="s">
        <v>127</v>
      </c>
      <c r="BT20" t="s">
        <v>148</v>
      </c>
      <c r="BU20" t="s">
        <v>131</v>
      </c>
      <c r="BV20" t="s">
        <v>137</v>
      </c>
      <c r="BW20" t="s">
        <v>137</v>
      </c>
      <c r="BX20">
        <v>46160</v>
      </c>
      <c r="BZ20" t="s">
        <v>94</v>
      </c>
      <c r="CA20">
        <v>46157</v>
      </c>
      <c r="CB20" s="2">
        <v>46164</v>
      </c>
      <c r="CC20" s="2">
        <v>46170</v>
      </c>
      <c r="CD20">
        <f>+VLOOKUP(C20,[1]Sheet1!$A$1:$AC$452,18,FALSE)</f>
        <v>1973</v>
      </c>
    </row>
    <row r="21" spans="1:82" x14ac:dyDescent="0.3">
      <c r="A21" t="s">
        <v>86</v>
      </c>
      <c r="B21">
        <v>20395</v>
      </c>
      <c r="C21">
        <v>444</v>
      </c>
      <c r="D21" s="1">
        <v>46160</v>
      </c>
      <c r="E21">
        <v>21</v>
      </c>
      <c r="F21">
        <v>5</v>
      </c>
      <c r="G21" s="1">
        <v>46170</v>
      </c>
      <c r="H21" t="s">
        <v>87</v>
      </c>
      <c r="I21" t="s">
        <v>88</v>
      </c>
      <c r="J21" t="s">
        <v>134</v>
      </c>
      <c r="K21">
        <v>56</v>
      </c>
      <c r="L21" t="s">
        <v>128</v>
      </c>
      <c r="M21">
        <v>347</v>
      </c>
      <c r="N21" t="s">
        <v>125</v>
      </c>
      <c r="O21" t="s">
        <v>106</v>
      </c>
      <c r="P21" t="s">
        <v>138</v>
      </c>
      <c r="R21" t="s">
        <v>139</v>
      </c>
      <c r="T21" t="s">
        <v>168</v>
      </c>
      <c r="U21" t="s">
        <v>168</v>
      </c>
      <c r="V21" t="s">
        <v>100</v>
      </c>
      <c r="W21" t="s">
        <v>142</v>
      </c>
      <c r="X21" t="s">
        <v>143</v>
      </c>
      <c r="Y21" t="s">
        <v>95</v>
      </c>
      <c r="Z21">
        <v>15</v>
      </c>
      <c r="AA21" t="s">
        <v>89</v>
      </c>
      <c r="AB21" t="s">
        <v>89</v>
      </c>
      <c r="AC21" t="s">
        <v>90</v>
      </c>
      <c r="AD21" t="s">
        <v>117</v>
      </c>
      <c r="AE21">
        <v>80</v>
      </c>
      <c r="AF21">
        <v>1200</v>
      </c>
      <c r="AG21">
        <v>10</v>
      </c>
      <c r="AK21" t="s">
        <v>116</v>
      </c>
      <c r="AM21" t="s">
        <v>96</v>
      </c>
      <c r="AN21" t="s">
        <v>93</v>
      </c>
      <c r="AO21" t="s">
        <v>129</v>
      </c>
      <c r="AV21" t="s">
        <v>135</v>
      </c>
      <c r="AW21" t="s">
        <v>144</v>
      </c>
      <c r="AY21" t="s">
        <v>130</v>
      </c>
      <c r="AZ21" s="1">
        <v>46164</v>
      </c>
      <c r="BA21" t="s">
        <v>145</v>
      </c>
      <c r="BB21">
        <v>444</v>
      </c>
      <c r="BF21" t="s">
        <v>100</v>
      </c>
      <c r="BG21">
        <v>118</v>
      </c>
      <c r="BH21" t="s">
        <v>146</v>
      </c>
      <c r="BJ21" t="s">
        <v>94</v>
      </c>
      <c r="BK21" t="s">
        <v>139</v>
      </c>
      <c r="BL21" t="s">
        <v>100</v>
      </c>
      <c r="BP21" t="s">
        <v>147</v>
      </c>
      <c r="BQ21">
        <v>474</v>
      </c>
      <c r="BR21" t="s">
        <v>126</v>
      </c>
      <c r="BS21" t="s">
        <v>127</v>
      </c>
      <c r="BT21" t="s">
        <v>148</v>
      </c>
      <c r="BU21" t="s">
        <v>131</v>
      </c>
      <c r="BV21" t="s">
        <v>137</v>
      </c>
      <c r="BW21" t="s">
        <v>137</v>
      </c>
      <c r="BX21">
        <v>46160</v>
      </c>
      <c r="BZ21" t="s">
        <v>94</v>
      </c>
      <c r="CA21">
        <v>46157</v>
      </c>
      <c r="CB21" s="2">
        <v>46164</v>
      </c>
      <c r="CC21" s="2">
        <v>46170</v>
      </c>
      <c r="CD21">
        <f>+VLOOKUP(C21,[1]Sheet1!$A$1:$AC$452,18,FALSE)</f>
        <v>1973</v>
      </c>
    </row>
    <row r="22" spans="1:82" x14ac:dyDescent="0.3">
      <c r="A22" t="s">
        <v>86</v>
      </c>
      <c r="B22">
        <v>20396</v>
      </c>
      <c r="C22">
        <v>446</v>
      </c>
      <c r="D22" s="1">
        <v>46164</v>
      </c>
      <c r="E22">
        <v>21</v>
      </c>
      <c r="F22">
        <v>5</v>
      </c>
      <c r="G22" s="1">
        <v>46188</v>
      </c>
      <c r="H22" t="s">
        <v>87</v>
      </c>
      <c r="I22" t="s">
        <v>88</v>
      </c>
      <c r="J22" t="s">
        <v>169</v>
      </c>
      <c r="K22">
        <v>11</v>
      </c>
      <c r="L22" t="s">
        <v>170</v>
      </c>
      <c r="M22">
        <v>346</v>
      </c>
      <c r="N22" t="s">
        <v>121</v>
      </c>
      <c r="O22" t="s">
        <v>122</v>
      </c>
      <c r="P22" t="s">
        <v>123</v>
      </c>
      <c r="R22" t="s">
        <v>171</v>
      </c>
      <c r="T22" t="s">
        <v>172</v>
      </c>
      <c r="U22" t="s">
        <v>172</v>
      </c>
      <c r="V22" t="s">
        <v>100</v>
      </c>
      <c r="W22" t="s">
        <v>142</v>
      </c>
      <c r="X22" t="s">
        <v>174</v>
      </c>
      <c r="Y22" t="s">
        <v>175</v>
      </c>
      <c r="Z22">
        <v>15</v>
      </c>
      <c r="AA22" t="s">
        <v>89</v>
      </c>
      <c r="AB22" t="s">
        <v>89</v>
      </c>
      <c r="AC22" t="s">
        <v>90</v>
      </c>
      <c r="AD22" t="s">
        <v>105</v>
      </c>
      <c r="AE22">
        <v>36</v>
      </c>
      <c r="AF22">
        <v>540</v>
      </c>
      <c r="AG22">
        <v>10</v>
      </c>
      <c r="AK22" t="s">
        <v>176</v>
      </c>
      <c r="AM22" t="s">
        <v>92</v>
      </c>
      <c r="AN22" t="s">
        <v>93</v>
      </c>
      <c r="AO22" t="s">
        <v>177</v>
      </c>
      <c r="AV22" t="s">
        <v>136</v>
      </c>
      <c r="AW22" t="s">
        <v>178</v>
      </c>
      <c r="AY22" t="s">
        <v>179</v>
      </c>
      <c r="AZ22" s="1">
        <v>46166</v>
      </c>
      <c r="BA22" t="s">
        <v>145</v>
      </c>
      <c r="BB22">
        <v>446</v>
      </c>
      <c r="BF22" t="s">
        <v>100</v>
      </c>
      <c r="BG22">
        <v>19</v>
      </c>
      <c r="BH22" t="s">
        <v>102</v>
      </c>
      <c r="BJ22" t="s">
        <v>94</v>
      </c>
      <c r="BK22" t="s">
        <v>171</v>
      </c>
      <c r="BL22" t="s">
        <v>100</v>
      </c>
      <c r="BP22" t="s">
        <v>147</v>
      </c>
      <c r="BQ22">
        <v>476</v>
      </c>
      <c r="BR22" t="s">
        <v>113</v>
      </c>
      <c r="BS22" t="s">
        <v>180</v>
      </c>
      <c r="BT22" t="s">
        <v>103</v>
      </c>
      <c r="BU22" t="s">
        <v>97</v>
      </c>
      <c r="BV22" t="s">
        <v>181</v>
      </c>
      <c r="BW22" t="s">
        <v>182</v>
      </c>
      <c r="BX22">
        <v>46164</v>
      </c>
      <c r="BZ22" t="s">
        <v>94</v>
      </c>
      <c r="CA22">
        <v>46160</v>
      </c>
      <c r="CB22" s="2">
        <v>46166</v>
      </c>
      <c r="CC22" s="2">
        <v>46188</v>
      </c>
      <c r="CD22">
        <f>+VLOOKUP(C22,[1]Sheet1!$A$1:$AC$452,18,FALSE)</f>
        <v>1974</v>
      </c>
    </row>
    <row r="23" spans="1:82" x14ac:dyDescent="0.3">
      <c r="A23" t="s">
        <v>86</v>
      </c>
      <c r="B23">
        <v>20397</v>
      </c>
      <c r="C23">
        <v>446</v>
      </c>
      <c r="D23" s="1">
        <v>46164</v>
      </c>
      <c r="E23">
        <v>21</v>
      </c>
      <c r="F23">
        <v>5</v>
      </c>
      <c r="G23" s="1">
        <v>46188</v>
      </c>
      <c r="H23" t="s">
        <v>87</v>
      </c>
      <c r="I23" t="s">
        <v>88</v>
      </c>
      <c r="J23" t="s">
        <v>169</v>
      </c>
      <c r="K23">
        <v>11</v>
      </c>
      <c r="L23" t="s">
        <v>170</v>
      </c>
      <c r="M23">
        <v>346</v>
      </c>
      <c r="N23" t="s">
        <v>121</v>
      </c>
      <c r="O23" t="s">
        <v>122</v>
      </c>
      <c r="P23" t="s">
        <v>123</v>
      </c>
      <c r="R23" t="s">
        <v>171</v>
      </c>
      <c r="T23" t="s">
        <v>172</v>
      </c>
      <c r="U23" t="s">
        <v>172</v>
      </c>
      <c r="V23" t="s">
        <v>100</v>
      </c>
      <c r="W23" t="s">
        <v>142</v>
      </c>
      <c r="X23" t="s">
        <v>174</v>
      </c>
      <c r="Y23" t="s">
        <v>175</v>
      </c>
      <c r="Z23">
        <v>15</v>
      </c>
      <c r="AA23" t="s">
        <v>89</v>
      </c>
      <c r="AB23" t="s">
        <v>89</v>
      </c>
      <c r="AC23" t="s">
        <v>90</v>
      </c>
      <c r="AD23" t="s">
        <v>105</v>
      </c>
      <c r="AE23">
        <v>24</v>
      </c>
      <c r="AF23">
        <v>360</v>
      </c>
      <c r="AG23">
        <v>10</v>
      </c>
      <c r="AK23" t="s">
        <v>176</v>
      </c>
      <c r="AM23" t="s">
        <v>92</v>
      </c>
      <c r="AN23" t="s">
        <v>93</v>
      </c>
      <c r="AO23" t="s">
        <v>177</v>
      </c>
      <c r="AV23" t="s">
        <v>136</v>
      </c>
      <c r="AW23" t="s">
        <v>178</v>
      </c>
      <c r="AY23" t="s">
        <v>179</v>
      </c>
      <c r="AZ23" s="1">
        <v>46166</v>
      </c>
      <c r="BA23" t="s">
        <v>145</v>
      </c>
      <c r="BB23">
        <v>446</v>
      </c>
      <c r="BF23" t="s">
        <v>100</v>
      </c>
      <c r="BG23">
        <v>19</v>
      </c>
      <c r="BH23" t="s">
        <v>102</v>
      </c>
      <c r="BJ23" t="s">
        <v>94</v>
      </c>
      <c r="BK23" t="s">
        <v>171</v>
      </c>
      <c r="BL23" t="s">
        <v>100</v>
      </c>
      <c r="BP23" t="s">
        <v>147</v>
      </c>
      <c r="BQ23">
        <v>476</v>
      </c>
      <c r="BR23" t="s">
        <v>113</v>
      </c>
      <c r="BS23" t="s">
        <v>180</v>
      </c>
      <c r="BT23" t="s">
        <v>103</v>
      </c>
      <c r="BU23" t="s">
        <v>97</v>
      </c>
      <c r="BV23" t="s">
        <v>181</v>
      </c>
      <c r="BW23" t="s">
        <v>182</v>
      </c>
      <c r="BX23">
        <v>46164</v>
      </c>
      <c r="BZ23" t="s">
        <v>94</v>
      </c>
      <c r="CA23">
        <v>46160</v>
      </c>
      <c r="CB23" s="2">
        <v>46166</v>
      </c>
      <c r="CC23" s="2">
        <v>46188</v>
      </c>
      <c r="CD23">
        <f>+VLOOKUP(C23,[1]Sheet1!$A$1:$AC$452,18,FALSE)</f>
        <v>1974</v>
      </c>
    </row>
    <row r="24" spans="1:82" x14ac:dyDescent="0.3">
      <c r="A24" t="s">
        <v>86</v>
      </c>
      <c r="B24">
        <v>20398</v>
      </c>
      <c r="C24">
        <v>446</v>
      </c>
      <c r="D24" s="1">
        <v>46164</v>
      </c>
      <c r="E24">
        <v>21</v>
      </c>
      <c r="F24">
        <v>5</v>
      </c>
      <c r="G24" s="1">
        <v>46188</v>
      </c>
      <c r="H24" t="s">
        <v>87</v>
      </c>
      <c r="I24" t="s">
        <v>88</v>
      </c>
      <c r="J24" t="s">
        <v>169</v>
      </c>
      <c r="K24">
        <v>11</v>
      </c>
      <c r="L24" t="s">
        <v>170</v>
      </c>
      <c r="M24">
        <v>346</v>
      </c>
      <c r="N24" t="s">
        <v>121</v>
      </c>
      <c r="O24" t="s">
        <v>122</v>
      </c>
      <c r="P24" t="s">
        <v>123</v>
      </c>
      <c r="R24" t="s">
        <v>171</v>
      </c>
      <c r="T24" t="s">
        <v>183</v>
      </c>
      <c r="U24" t="s">
        <v>183</v>
      </c>
      <c r="V24" t="s">
        <v>100</v>
      </c>
      <c r="W24" t="s">
        <v>142</v>
      </c>
      <c r="X24" t="s">
        <v>174</v>
      </c>
      <c r="Y24" t="s">
        <v>175</v>
      </c>
      <c r="Z24">
        <v>15</v>
      </c>
      <c r="AA24" t="s">
        <v>89</v>
      </c>
      <c r="AB24" t="s">
        <v>89</v>
      </c>
      <c r="AC24" t="s">
        <v>90</v>
      </c>
      <c r="AD24" t="s">
        <v>107</v>
      </c>
      <c r="AE24">
        <v>60</v>
      </c>
      <c r="AF24">
        <v>900</v>
      </c>
      <c r="AG24">
        <v>10</v>
      </c>
      <c r="AK24" t="s">
        <v>176</v>
      </c>
      <c r="AM24" t="s">
        <v>92</v>
      </c>
      <c r="AN24" t="s">
        <v>93</v>
      </c>
      <c r="AO24" t="s">
        <v>177</v>
      </c>
      <c r="AV24" t="s">
        <v>136</v>
      </c>
      <c r="AW24" t="s">
        <v>178</v>
      </c>
      <c r="AY24" t="s">
        <v>179</v>
      </c>
      <c r="AZ24" s="1">
        <v>46166</v>
      </c>
      <c r="BA24" t="s">
        <v>145</v>
      </c>
      <c r="BB24">
        <v>446</v>
      </c>
      <c r="BF24" t="s">
        <v>100</v>
      </c>
      <c r="BG24">
        <v>19</v>
      </c>
      <c r="BH24" t="s">
        <v>102</v>
      </c>
      <c r="BJ24" t="s">
        <v>94</v>
      </c>
      <c r="BK24" t="s">
        <v>171</v>
      </c>
      <c r="BL24" t="s">
        <v>100</v>
      </c>
      <c r="BP24" t="s">
        <v>147</v>
      </c>
      <c r="BQ24">
        <v>476</v>
      </c>
      <c r="BR24" t="s">
        <v>113</v>
      </c>
      <c r="BS24" t="s">
        <v>180</v>
      </c>
      <c r="BT24" t="s">
        <v>103</v>
      </c>
      <c r="BU24" t="s">
        <v>97</v>
      </c>
      <c r="BV24" t="s">
        <v>181</v>
      </c>
      <c r="BW24" t="s">
        <v>182</v>
      </c>
      <c r="BX24">
        <v>46164</v>
      </c>
      <c r="BZ24" t="s">
        <v>94</v>
      </c>
      <c r="CA24">
        <v>46160</v>
      </c>
      <c r="CB24" s="2">
        <v>46166</v>
      </c>
      <c r="CC24" s="2">
        <v>46188</v>
      </c>
      <c r="CD24">
        <f>+VLOOKUP(C24,[1]Sheet1!$A$1:$AC$452,18,FALSE)</f>
        <v>1974</v>
      </c>
    </row>
    <row r="25" spans="1:82" x14ac:dyDescent="0.3">
      <c r="A25" t="s">
        <v>86</v>
      </c>
      <c r="B25">
        <v>20399</v>
      </c>
      <c r="C25">
        <v>446</v>
      </c>
      <c r="D25" s="1">
        <v>46164</v>
      </c>
      <c r="E25">
        <v>21</v>
      </c>
      <c r="F25">
        <v>5</v>
      </c>
      <c r="G25" s="1">
        <v>46188</v>
      </c>
      <c r="H25" t="s">
        <v>87</v>
      </c>
      <c r="I25" t="s">
        <v>88</v>
      </c>
      <c r="J25" t="s">
        <v>169</v>
      </c>
      <c r="K25">
        <v>11</v>
      </c>
      <c r="L25" t="s">
        <v>170</v>
      </c>
      <c r="M25">
        <v>346</v>
      </c>
      <c r="N25" t="s">
        <v>121</v>
      </c>
      <c r="O25" t="s">
        <v>122</v>
      </c>
      <c r="P25" t="s">
        <v>123</v>
      </c>
      <c r="R25" t="s">
        <v>171</v>
      </c>
      <c r="T25" t="s">
        <v>184</v>
      </c>
      <c r="U25" t="s">
        <v>184</v>
      </c>
      <c r="V25" t="s">
        <v>100</v>
      </c>
      <c r="W25" t="s">
        <v>142</v>
      </c>
      <c r="X25" t="s">
        <v>174</v>
      </c>
      <c r="Y25" t="s">
        <v>175</v>
      </c>
      <c r="Z25">
        <v>15</v>
      </c>
      <c r="AA25" t="s">
        <v>89</v>
      </c>
      <c r="AB25" t="s">
        <v>89</v>
      </c>
      <c r="AC25" t="s">
        <v>90</v>
      </c>
      <c r="AD25" t="s">
        <v>105</v>
      </c>
      <c r="AE25">
        <v>60</v>
      </c>
      <c r="AF25">
        <v>900</v>
      </c>
      <c r="AG25">
        <v>10</v>
      </c>
      <c r="AK25" t="s">
        <v>176</v>
      </c>
      <c r="AM25" t="s">
        <v>92</v>
      </c>
      <c r="AN25" t="s">
        <v>93</v>
      </c>
      <c r="AO25" t="s">
        <v>177</v>
      </c>
      <c r="AV25" t="s">
        <v>136</v>
      </c>
      <c r="AW25" t="s">
        <v>178</v>
      </c>
      <c r="AY25" t="s">
        <v>179</v>
      </c>
      <c r="AZ25" s="1">
        <v>46166</v>
      </c>
      <c r="BA25" t="s">
        <v>145</v>
      </c>
      <c r="BB25">
        <v>446</v>
      </c>
      <c r="BF25" t="s">
        <v>100</v>
      </c>
      <c r="BG25">
        <v>19</v>
      </c>
      <c r="BH25" t="s">
        <v>102</v>
      </c>
      <c r="BJ25" t="s">
        <v>94</v>
      </c>
      <c r="BK25" t="s">
        <v>171</v>
      </c>
      <c r="BL25" t="s">
        <v>100</v>
      </c>
      <c r="BP25" t="s">
        <v>147</v>
      </c>
      <c r="BQ25">
        <v>476</v>
      </c>
      <c r="BR25" t="s">
        <v>113</v>
      </c>
      <c r="BS25" t="s">
        <v>180</v>
      </c>
      <c r="BT25" t="s">
        <v>103</v>
      </c>
      <c r="BU25" t="s">
        <v>97</v>
      </c>
      <c r="BV25" t="s">
        <v>181</v>
      </c>
      <c r="BW25" t="s">
        <v>182</v>
      </c>
      <c r="BX25">
        <v>46164</v>
      </c>
      <c r="BZ25" t="s">
        <v>94</v>
      </c>
      <c r="CA25">
        <v>46160</v>
      </c>
      <c r="CB25" s="2">
        <v>46166</v>
      </c>
      <c r="CC25" s="2">
        <v>46188</v>
      </c>
      <c r="CD25">
        <f>+VLOOKUP(C25,[1]Sheet1!$A$1:$AC$452,18,FALSE)</f>
        <v>1974</v>
      </c>
    </row>
    <row r="26" spans="1:82" x14ac:dyDescent="0.3">
      <c r="A26" t="s">
        <v>86</v>
      </c>
      <c r="B26">
        <v>20400</v>
      </c>
      <c r="C26">
        <v>446</v>
      </c>
      <c r="D26" s="1">
        <v>46164</v>
      </c>
      <c r="E26">
        <v>21</v>
      </c>
      <c r="F26">
        <v>5</v>
      </c>
      <c r="G26" s="1">
        <v>46188</v>
      </c>
      <c r="H26" t="s">
        <v>87</v>
      </c>
      <c r="I26" t="s">
        <v>88</v>
      </c>
      <c r="J26" t="s">
        <v>169</v>
      </c>
      <c r="K26">
        <v>11</v>
      </c>
      <c r="L26" t="s">
        <v>170</v>
      </c>
      <c r="M26">
        <v>346</v>
      </c>
      <c r="N26" t="s">
        <v>121</v>
      </c>
      <c r="O26" t="s">
        <v>122</v>
      </c>
      <c r="P26" t="s">
        <v>123</v>
      </c>
      <c r="R26" t="s">
        <v>171</v>
      </c>
      <c r="T26" t="s">
        <v>185</v>
      </c>
      <c r="U26" t="s">
        <v>185</v>
      </c>
      <c r="V26" t="s">
        <v>100</v>
      </c>
      <c r="W26" t="s">
        <v>142</v>
      </c>
      <c r="X26" t="s">
        <v>174</v>
      </c>
      <c r="Y26" t="s">
        <v>175</v>
      </c>
      <c r="Z26">
        <v>15</v>
      </c>
      <c r="AA26" t="s">
        <v>89</v>
      </c>
      <c r="AB26" t="s">
        <v>89</v>
      </c>
      <c r="AC26" t="s">
        <v>90</v>
      </c>
      <c r="AD26" t="s">
        <v>107</v>
      </c>
      <c r="AE26">
        <v>60</v>
      </c>
      <c r="AF26">
        <v>900</v>
      </c>
      <c r="AG26">
        <v>10</v>
      </c>
      <c r="AK26" t="s">
        <v>176</v>
      </c>
      <c r="AM26" t="s">
        <v>92</v>
      </c>
      <c r="AN26" t="s">
        <v>93</v>
      </c>
      <c r="AO26" t="s">
        <v>177</v>
      </c>
      <c r="AV26" t="s">
        <v>136</v>
      </c>
      <c r="AW26" t="s">
        <v>178</v>
      </c>
      <c r="AY26" t="s">
        <v>179</v>
      </c>
      <c r="AZ26" s="1">
        <v>46166</v>
      </c>
      <c r="BA26" t="s">
        <v>145</v>
      </c>
      <c r="BB26">
        <v>446</v>
      </c>
      <c r="BF26" t="s">
        <v>100</v>
      </c>
      <c r="BG26">
        <v>19</v>
      </c>
      <c r="BH26" t="s">
        <v>102</v>
      </c>
      <c r="BJ26" t="s">
        <v>94</v>
      </c>
      <c r="BK26" t="s">
        <v>171</v>
      </c>
      <c r="BL26" t="s">
        <v>100</v>
      </c>
      <c r="BP26" t="s">
        <v>147</v>
      </c>
      <c r="BQ26">
        <v>476</v>
      </c>
      <c r="BR26" t="s">
        <v>113</v>
      </c>
      <c r="BS26" t="s">
        <v>180</v>
      </c>
      <c r="BT26" t="s">
        <v>103</v>
      </c>
      <c r="BU26" t="s">
        <v>97</v>
      </c>
      <c r="BV26" t="s">
        <v>181</v>
      </c>
      <c r="BW26" t="s">
        <v>182</v>
      </c>
      <c r="BX26">
        <v>46164</v>
      </c>
      <c r="BZ26" t="s">
        <v>94</v>
      </c>
      <c r="CA26">
        <v>46160</v>
      </c>
      <c r="CB26" s="2">
        <v>46166</v>
      </c>
      <c r="CC26" s="2">
        <v>46188</v>
      </c>
      <c r="CD26">
        <f>+VLOOKUP(C26,[1]Sheet1!$A$1:$AC$452,18,FALSE)</f>
        <v>1974</v>
      </c>
    </row>
    <row r="27" spans="1:82" x14ac:dyDescent="0.3">
      <c r="A27" t="s">
        <v>86</v>
      </c>
      <c r="B27">
        <v>20401</v>
      </c>
      <c r="C27">
        <v>446</v>
      </c>
      <c r="D27" s="1">
        <v>46164</v>
      </c>
      <c r="E27">
        <v>21</v>
      </c>
      <c r="F27">
        <v>5</v>
      </c>
      <c r="G27" s="1">
        <v>46188</v>
      </c>
      <c r="H27" t="s">
        <v>87</v>
      </c>
      <c r="I27" t="s">
        <v>88</v>
      </c>
      <c r="J27" t="s">
        <v>169</v>
      </c>
      <c r="K27">
        <v>11</v>
      </c>
      <c r="L27" t="s">
        <v>170</v>
      </c>
      <c r="M27">
        <v>346</v>
      </c>
      <c r="N27" t="s">
        <v>121</v>
      </c>
      <c r="O27" t="s">
        <v>122</v>
      </c>
      <c r="P27" t="s">
        <v>123</v>
      </c>
      <c r="R27" t="s">
        <v>171</v>
      </c>
      <c r="T27" t="s">
        <v>186</v>
      </c>
      <c r="U27" t="s">
        <v>186</v>
      </c>
      <c r="V27" t="s">
        <v>100</v>
      </c>
      <c r="W27" t="s">
        <v>142</v>
      </c>
      <c r="X27" t="s">
        <v>174</v>
      </c>
      <c r="Y27" t="s">
        <v>175</v>
      </c>
      <c r="Z27">
        <v>15</v>
      </c>
      <c r="AA27" t="s">
        <v>89</v>
      </c>
      <c r="AB27" t="s">
        <v>89</v>
      </c>
      <c r="AC27" t="s">
        <v>90</v>
      </c>
      <c r="AD27" t="s">
        <v>107</v>
      </c>
      <c r="AE27">
        <v>60</v>
      </c>
      <c r="AF27">
        <v>900</v>
      </c>
      <c r="AG27">
        <v>10</v>
      </c>
      <c r="AK27" t="s">
        <v>176</v>
      </c>
      <c r="AM27" t="s">
        <v>92</v>
      </c>
      <c r="AN27" t="s">
        <v>93</v>
      </c>
      <c r="AO27" t="s">
        <v>177</v>
      </c>
      <c r="AV27" t="s">
        <v>136</v>
      </c>
      <c r="AW27" t="s">
        <v>178</v>
      </c>
      <c r="AY27" t="s">
        <v>179</v>
      </c>
      <c r="AZ27" s="1">
        <v>46166</v>
      </c>
      <c r="BA27" t="s">
        <v>145</v>
      </c>
      <c r="BB27">
        <v>446</v>
      </c>
      <c r="BF27" t="s">
        <v>100</v>
      </c>
      <c r="BG27">
        <v>19</v>
      </c>
      <c r="BH27" t="s">
        <v>102</v>
      </c>
      <c r="BJ27" t="s">
        <v>94</v>
      </c>
      <c r="BK27" t="s">
        <v>171</v>
      </c>
      <c r="BL27" t="s">
        <v>100</v>
      </c>
      <c r="BP27" t="s">
        <v>147</v>
      </c>
      <c r="BQ27">
        <v>476</v>
      </c>
      <c r="BR27" t="s">
        <v>113</v>
      </c>
      <c r="BS27" t="s">
        <v>180</v>
      </c>
      <c r="BT27" t="s">
        <v>103</v>
      </c>
      <c r="BU27" t="s">
        <v>97</v>
      </c>
      <c r="BV27" t="s">
        <v>181</v>
      </c>
      <c r="BW27" t="s">
        <v>182</v>
      </c>
      <c r="BX27">
        <v>46164</v>
      </c>
      <c r="BZ27" t="s">
        <v>94</v>
      </c>
      <c r="CA27">
        <v>46160</v>
      </c>
      <c r="CB27" s="2">
        <v>46166</v>
      </c>
      <c r="CC27" s="2">
        <v>46188</v>
      </c>
      <c r="CD27">
        <f>+VLOOKUP(C27,[1]Sheet1!$A$1:$AC$452,18,FALSE)</f>
        <v>1974</v>
      </c>
    </row>
    <row r="28" spans="1:82" x14ac:dyDescent="0.3">
      <c r="A28" t="s">
        <v>86</v>
      </c>
      <c r="B28">
        <v>20402</v>
      </c>
      <c r="C28">
        <v>446</v>
      </c>
      <c r="D28" s="1">
        <v>46164</v>
      </c>
      <c r="E28">
        <v>21</v>
      </c>
      <c r="F28">
        <v>5</v>
      </c>
      <c r="G28" s="1">
        <v>46188</v>
      </c>
      <c r="H28" t="s">
        <v>87</v>
      </c>
      <c r="I28" t="s">
        <v>88</v>
      </c>
      <c r="J28" t="s">
        <v>169</v>
      </c>
      <c r="K28">
        <v>11</v>
      </c>
      <c r="L28" t="s">
        <v>170</v>
      </c>
      <c r="M28">
        <v>346</v>
      </c>
      <c r="N28" t="s">
        <v>121</v>
      </c>
      <c r="O28" t="s">
        <v>122</v>
      </c>
      <c r="P28" t="s">
        <v>123</v>
      </c>
      <c r="R28" t="s">
        <v>171</v>
      </c>
      <c r="T28" t="s">
        <v>187</v>
      </c>
      <c r="U28" t="s">
        <v>187</v>
      </c>
      <c r="V28" t="s">
        <v>100</v>
      </c>
      <c r="W28" t="s">
        <v>142</v>
      </c>
      <c r="X28" t="s">
        <v>174</v>
      </c>
      <c r="Y28" t="s">
        <v>175</v>
      </c>
      <c r="Z28">
        <v>15</v>
      </c>
      <c r="AA28" t="s">
        <v>89</v>
      </c>
      <c r="AB28" t="s">
        <v>89</v>
      </c>
      <c r="AC28" t="s">
        <v>90</v>
      </c>
      <c r="AD28" t="s">
        <v>107</v>
      </c>
      <c r="AE28">
        <v>60</v>
      </c>
      <c r="AF28">
        <v>900</v>
      </c>
      <c r="AG28">
        <v>10</v>
      </c>
      <c r="AK28" t="s">
        <v>176</v>
      </c>
      <c r="AM28" t="s">
        <v>92</v>
      </c>
      <c r="AN28" t="s">
        <v>93</v>
      </c>
      <c r="AO28" t="s">
        <v>177</v>
      </c>
      <c r="AV28" t="s">
        <v>136</v>
      </c>
      <c r="AW28" t="s">
        <v>178</v>
      </c>
      <c r="AY28" t="s">
        <v>179</v>
      </c>
      <c r="AZ28" s="1">
        <v>46166</v>
      </c>
      <c r="BA28" t="s">
        <v>145</v>
      </c>
      <c r="BB28">
        <v>446</v>
      </c>
      <c r="BF28" t="s">
        <v>100</v>
      </c>
      <c r="BG28">
        <v>19</v>
      </c>
      <c r="BH28" t="s">
        <v>102</v>
      </c>
      <c r="BJ28" t="s">
        <v>94</v>
      </c>
      <c r="BK28" t="s">
        <v>171</v>
      </c>
      <c r="BL28" t="s">
        <v>100</v>
      </c>
      <c r="BP28" t="s">
        <v>147</v>
      </c>
      <c r="BQ28">
        <v>476</v>
      </c>
      <c r="BR28" t="s">
        <v>113</v>
      </c>
      <c r="BS28" t="s">
        <v>180</v>
      </c>
      <c r="BT28" t="s">
        <v>103</v>
      </c>
      <c r="BU28" t="s">
        <v>97</v>
      </c>
      <c r="BV28" t="s">
        <v>181</v>
      </c>
      <c r="BW28" t="s">
        <v>182</v>
      </c>
      <c r="BX28">
        <v>46164</v>
      </c>
      <c r="BZ28" t="s">
        <v>94</v>
      </c>
      <c r="CA28">
        <v>46160</v>
      </c>
      <c r="CB28" s="2">
        <v>46166</v>
      </c>
      <c r="CC28" s="2">
        <v>46188</v>
      </c>
      <c r="CD28">
        <f>+VLOOKUP(C28,[1]Sheet1!$A$1:$AC$452,18,FALSE)</f>
        <v>1974</v>
      </c>
    </row>
    <row r="29" spans="1:82" x14ac:dyDescent="0.3">
      <c r="A29" t="s">
        <v>86</v>
      </c>
      <c r="B29">
        <v>20403</v>
      </c>
      <c r="C29">
        <v>446</v>
      </c>
      <c r="D29" s="1">
        <v>46164</v>
      </c>
      <c r="E29">
        <v>21</v>
      </c>
      <c r="F29">
        <v>5</v>
      </c>
      <c r="G29" s="1">
        <v>46188</v>
      </c>
      <c r="H29" t="s">
        <v>87</v>
      </c>
      <c r="I29" t="s">
        <v>88</v>
      </c>
      <c r="J29" t="s">
        <v>169</v>
      </c>
      <c r="K29">
        <v>11</v>
      </c>
      <c r="L29" t="s">
        <v>170</v>
      </c>
      <c r="M29">
        <v>346</v>
      </c>
      <c r="N29" t="s">
        <v>121</v>
      </c>
      <c r="O29" t="s">
        <v>122</v>
      </c>
      <c r="P29" t="s">
        <v>123</v>
      </c>
      <c r="R29" t="s">
        <v>171</v>
      </c>
      <c r="T29" t="s">
        <v>188</v>
      </c>
      <c r="U29" t="s">
        <v>188</v>
      </c>
      <c r="V29" t="s">
        <v>100</v>
      </c>
      <c r="W29" t="s">
        <v>142</v>
      </c>
      <c r="X29" t="s">
        <v>174</v>
      </c>
      <c r="Y29" t="s">
        <v>175</v>
      </c>
      <c r="Z29">
        <v>15</v>
      </c>
      <c r="AA29" t="s">
        <v>89</v>
      </c>
      <c r="AB29" t="s">
        <v>89</v>
      </c>
      <c r="AC29" t="s">
        <v>90</v>
      </c>
      <c r="AD29" t="s">
        <v>105</v>
      </c>
      <c r="AE29">
        <v>60</v>
      </c>
      <c r="AF29">
        <v>900</v>
      </c>
      <c r="AG29">
        <v>10</v>
      </c>
      <c r="AK29" t="s">
        <v>176</v>
      </c>
      <c r="AM29" t="s">
        <v>92</v>
      </c>
      <c r="AN29" t="s">
        <v>93</v>
      </c>
      <c r="AO29" t="s">
        <v>177</v>
      </c>
      <c r="AV29" t="s">
        <v>136</v>
      </c>
      <c r="AW29" t="s">
        <v>178</v>
      </c>
      <c r="AY29" t="s">
        <v>179</v>
      </c>
      <c r="AZ29" s="1">
        <v>46166</v>
      </c>
      <c r="BA29" t="s">
        <v>145</v>
      </c>
      <c r="BB29">
        <v>446</v>
      </c>
      <c r="BF29" t="s">
        <v>100</v>
      </c>
      <c r="BG29">
        <v>19</v>
      </c>
      <c r="BH29" t="s">
        <v>102</v>
      </c>
      <c r="BJ29" t="s">
        <v>94</v>
      </c>
      <c r="BK29" t="s">
        <v>171</v>
      </c>
      <c r="BL29" t="s">
        <v>100</v>
      </c>
      <c r="BP29" t="s">
        <v>147</v>
      </c>
      <c r="BQ29">
        <v>476</v>
      </c>
      <c r="BR29" t="s">
        <v>113</v>
      </c>
      <c r="BS29" t="s">
        <v>180</v>
      </c>
      <c r="BT29" t="s">
        <v>103</v>
      </c>
      <c r="BU29" t="s">
        <v>97</v>
      </c>
      <c r="BV29" t="s">
        <v>181</v>
      </c>
      <c r="BW29" t="s">
        <v>182</v>
      </c>
      <c r="BX29">
        <v>46164</v>
      </c>
      <c r="BZ29" t="s">
        <v>94</v>
      </c>
      <c r="CA29">
        <v>46160</v>
      </c>
      <c r="CB29" s="2">
        <v>46166</v>
      </c>
      <c r="CC29" s="2">
        <v>46188</v>
      </c>
      <c r="CD29">
        <f>+VLOOKUP(C29,[1]Sheet1!$A$1:$AC$452,18,FALSE)</f>
        <v>1974</v>
      </c>
    </row>
    <row r="30" spans="1:82" x14ac:dyDescent="0.3">
      <c r="A30" t="s">
        <v>86</v>
      </c>
      <c r="B30">
        <v>20404</v>
      </c>
      <c r="C30">
        <v>446</v>
      </c>
      <c r="D30" s="1">
        <v>46164</v>
      </c>
      <c r="E30">
        <v>21</v>
      </c>
      <c r="F30">
        <v>5</v>
      </c>
      <c r="G30" s="1">
        <v>46188</v>
      </c>
      <c r="H30" t="s">
        <v>87</v>
      </c>
      <c r="I30" t="s">
        <v>88</v>
      </c>
      <c r="J30" t="s">
        <v>169</v>
      </c>
      <c r="K30">
        <v>11</v>
      </c>
      <c r="L30" t="s">
        <v>170</v>
      </c>
      <c r="M30">
        <v>346</v>
      </c>
      <c r="N30" t="s">
        <v>121</v>
      </c>
      <c r="O30" t="s">
        <v>122</v>
      </c>
      <c r="P30" t="s">
        <v>123</v>
      </c>
      <c r="R30" t="s">
        <v>171</v>
      </c>
      <c r="T30" t="s">
        <v>189</v>
      </c>
      <c r="U30" t="s">
        <v>189</v>
      </c>
      <c r="V30" t="s">
        <v>100</v>
      </c>
      <c r="W30" t="s">
        <v>142</v>
      </c>
      <c r="X30" t="s">
        <v>174</v>
      </c>
      <c r="Y30" t="s">
        <v>175</v>
      </c>
      <c r="Z30">
        <v>15</v>
      </c>
      <c r="AA30" t="s">
        <v>89</v>
      </c>
      <c r="AB30" t="s">
        <v>89</v>
      </c>
      <c r="AC30" t="s">
        <v>90</v>
      </c>
      <c r="AD30" t="s">
        <v>107</v>
      </c>
      <c r="AE30">
        <v>60</v>
      </c>
      <c r="AF30">
        <v>900</v>
      </c>
      <c r="AG30">
        <v>10</v>
      </c>
      <c r="AK30" t="s">
        <v>176</v>
      </c>
      <c r="AM30" t="s">
        <v>92</v>
      </c>
      <c r="AN30" t="s">
        <v>93</v>
      </c>
      <c r="AO30" t="s">
        <v>177</v>
      </c>
      <c r="AV30" t="s">
        <v>136</v>
      </c>
      <c r="AW30" t="s">
        <v>178</v>
      </c>
      <c r="AY30" t="s">
        <v>179</v>
      </c>
      <c r="AZ30" s="1">
        <v>46166</v>
      </c>
      <c r="BA30" t="s">
        <v>145</v>
      </c>
      <c r="BB30">
        <v>446</v>
      </c>
      <c r="BF30" t="s">
        <v>100</v>
      </c>
      <c r="BG30">
        <v>19</v>
      </c>
      <c r="BH30" t="s">
        <v>102</v>
      </c>
      <c r="BJ30" t="s">
        <v>94</v>
      </c>
      <c r="BK30" t="s">
        <v>171</v>
      </c>
      <c r="BL30" t="s">
        <v>100</v>
      </c>
      <c r="BP30" t="s">
        <v>147</v>
      </c>
      <c r="BQ30">
        <v>476</v>
      </c>
      <c r="BR30" t="s">
        <v>113</v>
      </c>
      <c r="BS30" t="s">
        <v>180</v>
      </c>
      <c r="BT30" t="s">
        <v>103</v>
      </c>
      <c r="BU30" t="s">
        <v>97</v>
      </c>
      <c r="BV30" t="s">
        <v>181</v>
      </c>
      <c r="BW30" t="s">
        <v>182</v>
      </c>
      <c r="BX30">
        <v>46164</v>
      </c>
      <c r="BZ30" t="s">
        <v>94</v>
      </c>
      <c r="CA30">
        <v>46160</v>
      </c>
      <c r="CB30" s="2">
        <v>46166</v>
      </c>
      <c r="CC30" s="2">
        <v>46188</v>
      </c>
      <c r="CD30">
        <f>+VLOOKUP(C30,[1]Sheet1!$A$1:$AC$452,18,FALSE)</f>
        <v>1974</v>
      </c>
    </row>
    <row r="31" spans="1:82" x14ac:dyDescent="0.3">
      <c r="A31" t="s">
        <v>86</v>
      </c>
      <c r="B31">
        <v>20405</v>
      </c>
      <c r="C31">
        <v>446</v>
      </c>
      <c r="D31" s="1">
        <v>46164</v>
      </c>
      <c r="E31">
        <v>21</v>
      </c>
      <c r="F31">
        <v>5</v>
      </c>
      <c r="G31" s="1">
        <v>46188</v>
      </c>
      <c r="H31" t="s">
        <v>87</v>
      </c>
      <c r="I31" t="s">
        <v>88</v>
      </c>
      <c r="J31" t="s">
        <v>169</v>
      </c>
      <c r="K31">
        <v>11</v>
      </c>
      <c r="L31" t="s">
        <v>170</v>
      </c>
      <c r="M31">
        <v>346</v>
      </c>
      <c r="N31" t="s">
        <v>121</v>
      </c>
      <c r="O31" t="s">
        <v>122</v>
      </c>
      <c r="P31" t="s">
        <v>123</v>
      </c>
      <c r="R31" t="s">
        <v>171</v>
      </c>
      <c r="T31" t="s">
        <v>190</v>
      </c>
      <c r="U31" t="s">
        <v>190</v>
      </c>
      <c r="V31" t="s">
        <v>100</v>
      </c>
      <c r="W31" t="s">
        <v>142</v>
      </c>
      <c r="X31" t="s">
        <v>174</v>
      </c>
      <c r="Y31" t="s">
        <v>175</v>
      </c>
      <c r="Z31">
        <v>15</v>
      </c>
      <c r="AA31" t="s">
        <v>89</v>
      </c>
      <c r="AB31" t="s">
        <v>89</v>
      </c>
      <c r="AC31" t="s">
        <v>90</v>
      </c>
      <c r="AD31" t="s">
        <v>107</v>
      </c>
      <c r="AE31">
        <v>60</v>
      </c>
      <c r="AF31">
        <v>900</v>
      </c>
      <c r="AG31">
        <v>10</v>
      </c>
      <c r="AK31" t="s">
        <v>176</v>
      </c>
      <c r="AM31" t="s">
        <v>92</v>
      </c>
      <c r="AN31" t="s">
        <v>93</v>
      </c>
      <c r="AO31" t="s">
        <v>177</v>
      </c>
      <c r="AV31" t="s">
        <v>136</v>
      </c>
      <c r="AW31" t="s">
        <v>178</v>
      </c>
      <c r="AY31" t="s">
        <v>179</v>
      </c>
      <c r="AZ31" s="1">
        <v>46166</v>
      </c>
      <c r="BA31" t="s">
        <v>145</v>
      </c>
      <c r="BB31">
        <v>446</v>
      </c>
      <c r="BF31" t="s">
        <v>100</v>
      </c>
      <c r="BG31">
        <v>19</v>
      </c>
      <c r="BH31" t="s">
        <v>102</v>
      </c>
      <c r="BJ31" t="s">
        <v>94</v>
      </c>
      <c r="BK31" t="s">
        <v>171</v>
      </c>
      <c r="BL31" t="s">
        <v>100</v>
      </c>
      <c r="BP31" t="s">
        <v>147</v>
      </c>
      <c r="BQ31">
        <v>476</v>
      </c>
      <c r="BR31" t="s">
        <v>113</v>
      </c>
      <c r="BS31" t="s">
        <v>180</v>
      </c>
      <c r="BT31" t="s">
        <v>103</v>
      </c>
      <c r="BU31" t="s">
        <v>97</v>
      </c>
      <c r="BV31" t="s">
        <v>181</v>
      </c>
      <c r="BW31" t="s">
        <v>182</v>
      </c>
      <c r="BX31">
        <v>46164</v>
      </c>
      <c r="BZ31" t="s">
        <v>94</v>
      </c>
      <c r="CA31">
        <v>46160</v>
      </c>
      <c r="CB31" s="2">
        <v>46166</v>
      </c>
      <c r="CC31" s="2">
        <v>46188</v>
      </c>
      <c r="CD31">
        <f>+VLOOKUP(C31,[1]Sheet1!$A$1:$AC$452,18,FALSE)</f>
        <v>1974</v>
      </c>
    </row>
    <row r="32" spans="1:82" x14ac:dyDescent="0.3">
      <c r="A32" t="s">
        <v>86</v>
      </c>
      <c r="B32">
        <v>20406</v>
      </c>
      <c r="C32">
        <v>446</v>
      </c>
      <c r="D32" s="1">
        <v>46164</v>
      </c>
      <c r="E32">
        <v>21</v>
      </c>
      <c r="F32">
        <v>5</v>
      </c>
      <c r="G32" s="1">
        <v>46188</v>
      </c>
      <c r="H32" t="s">
        <v>87</v>
      </c>
      <c r="I32" t="s">
        <v>88</v>
      </c>
      <c r="J32" t="s">
        <v>169</v>
      </c>
      <c r="K32">
        <v>11</v>
      </c>
      <c r="L32" t="s">
        <v>170</v>
      </c>
      <c r="M32">
        <v>346</v>
      </c>
      <c r="N32" t="s">
        <v>121</v>
      </c>
      <c r="O32" t="s">
        <v>122</v>
      </c>
      <c r="P32" t="s">
        <v>123</v>
      </c>
      <c r="R32" t="s">
        <v>171</v>
      </c>
      <c r="T32" t="s">
        <v>191</v>
      </c>
      <c r="U32" t="s">
        <v>191</v>
      </c>
      <c r="V32" t="s">
        <v>100</v>
      </c>
      <c r="W32" t="s">
        <v>142</v>
      </c>
      <c r="X32" t="s">
        <v>174</v>
      </c>
      <c r="Y32" t="s">
        <v>175</v>
      </c>
      <c r="Z32">
        <v>15</v>
      </c>
      <c r="AA32" t="s">
        <v>89</v>
      </c>
      <c r="AB32" t="s">
        <v>89</v>
      </c>
      <c r="AC32" t="s">
        <v>90</v>
      </c>
      <c r="AD32" t="s">
        <v>105</v>
      </c>
      <c r="AE32">
        <v>60</v>
      </c>
      <c r="AF32">
        <v>900</v>
      </c>
      <c r="AG32">
        <v>10</v>
      </c>
      <c r="AK32" t="s">
        <v>176</v>
      </c>
      <c r="AM32" t="s">
        <v>92</v>
      </c>
      <c r="AN32" t="s">
        <v>93</v>
      </c>
      <c r="AO32" t="s">
        <v>177</v>
      </c>
      <c r="AV32" t="s">
        <v>136</v>
      </c>
      <c r="AW32" t="s">
        <v>178</v>
      </c>
      <c r="AY32" t="s">
        <v>179</v>
      </c>
      <c r="AZ32" s="1">
        <v>46166</v>
      </c>
      <c r="BA32" t="s">
        <v>145</v>
      </c>
      <c r="BB32">
        <v>446</v>
      </c>
      <c r="BF32" t="s">
        <v>100</v>
      </c>
      <c r="BG32">
        <v>19</v>
      </c>
      <c r="BH32" t="s">
        <v>102</v>
      </c>
      <c r="BJ32" t="s">
        <v>94</v>
      </c>
      <c r="BK32" t="s">
        <v>171</v>
      </c>
      <c r="BL32" t="s">
        <v>100</v>
      </c>
      <c r="BP32" t="s">
        <v>147</v>
      </c>
      <c r="BQ32">
        <v>476</v>
      </c>
      <c r="BR32" t="s">
        <v>113</v>
      </c>
      <c r="BS32" t="s">
        <v>180</v>
      </c>
      <c r="BT32" t="s">
        <v>103</v>
      </c>
      <c r="BU32" t="s">
        <v>97</v>
      </c>
      <c r="BV32" t="s">
        <v>181</v>
      </c>
      <c r="BW32" t="s">
        <v>182</v>
      </c>
      <c r="BX32">
        <v>46164</v>
      </c>
      <c r="BZ32" t="s">
        <v>94</v>
      </c>
      <c r="CA32">
        <v>46160</v>
      </c>
      <c r="CB32" s="2">
        <v>46166</v>
      </c>
      <c r="CC32" s="2">
        <v>46188</v>
      </c>
      <c r="CD32">
        <f>+VLOOKUP(C32,[1]Sheet1!$A$1:$AC$452,18,FALSE)</f>
        <v>1974</v>
      </c>
    </row>
    <row r="33" spans="1:82" x14ac:dyDescent="0.3">
      <c r="A33" t="s">
        <v>86</v>
      </c>
      <c r="B33">
        <v>20407</v>
      </c>
      <c r="C33">
        <v>446</v>
      </c>
      <c r="D33" s="1">
        <v>46164</v>
      </c>
      <c r="E33">
        <v>21</v>
      </c>
      <c r="F33">
        <v>5</v>
      </c>
      <c r="G33" s="1">
        <v>46188</v>
      </c>
      <c r="H33" t="s">
        <v>87</v>
      </c>
      <c r="I33" t="s">
        <v>88</v>
      </c>
      <c r="J33" t="s">
        <v>169</v>
      </c>
      <c r="K33">
        <v>11</v>
      </c>
      <c r="L33" t="s">
        <v>170</v>
      </c>
      <c r="M33">
        <v>346</v>
      </c>
      <c r="N33" t="s">
        <v>121</v>
      </c>
      <c r="O33" t="s">
        <v>122</v>
      </c>
      <c r="P33" t="s">
        <v>123</v>
      </c>
      <c r="R33" t="s">
        <v>171</v>
      </c>
      <c r="T33" t="s">
        <v>192</v>
      </c>
      <c r="U33" t="s">
        <v>192</v>
      </c>
      <c r="V33" t="s">
        <v>100</v>
      </c>
      <c r="W33" t="s">
        <v>142</v>
      </c>
      <c r="X33" t="s">
        <v>174</v>
      </c>
      <c r="Y33" t="s">
        <v>175</v>
      </c>
      <c r="Z33">
        <v>15</v>
      </c>
      <c r="AA33" t="s">
        <v>89</v>
      </c>
      <c r="AB33" t="s">
        <v>89</v>
      </c>
      <c r="AC33" t="s">
        <v>90</v>
      </c>
      <c r="AD33" t="s">
        <v>107</v>
      </c>
      <c r="AE33">
        <v>60</v>
      </c>
      <c r="AF33">
        <v>900</v>
      </c>
      <c r="AG33">
        <v>10</v>
      </c>
      <c r="AK33" t="s">
        <v>176</v>
      </c>
      <c r="AM33" t="s">
        <v>92</v>
      </c>
      <c r="AN33" t="s">
        <v>93</v>
      </c>
      <c r="AO33" t="s">
        <v>177</v>
      </c>
      <c r="AV33" t="s">
        <v>136</v>
      </c>
      <c r="AW33" t="s">
        <v>178</v>
      </c>
      <c r="AY33" t="s">
        <v>179</v>
      </c>
      <c r="AZ33" s="1">
        <v>46166</v>
      </c>
      <c r="BA33" t="s">
        <v>145</v>
      </c>
      <c r="BB33">
        <v>446</v>
      </c>
      <c r="BF33" t="s">
        <v>100</v>
      </c>
      <c r="BG33">
        <v>19</v>
      </c>
      <c r="BH33" t="s">
        <v>102</v>
      </c>
      <c r="BJ33" t="s">
        <v>94</v>
      </c>
      <c r="BK33" t="s">
        <v>171</v>
      </c>
      <c r="BL33" t="s">
        <v>100</v>
      </c>
      <c r="BP33" t="s">
        <v>147</v>
      </c>
      <c r="BQ33">
        <v>476</v>
      </c>
      <c r="BR33" t="s">
        <v>113</v>
      </c>
      <c r="BS33" t="s">
        <v>180</v>
      </c>
      <c r="BT33" t="s">
        <v>103</v>
      </c>
      <c r="BU33" t="s">
        <v>97</v>
      </c>
      <c r="BV33" t="s">
        <v>181</v>
      </c>
      <c r="BW33" t="s">
        <v>182</v>
      </c>
      <c r="BX33">
        <v>46164</v>
      </c>
      <c r="BZ33" t="s">
        <v>94</v>
      </c>
      <c r="CA33">
        <v>46160</v>
      </c>
      <c r="CB33" s="2">
        <v>46166</v>
      </c>
      <c r="CC33" s="2">
        <v>46188</v>
      </c>
      <c r="CD33">
        <f>+VLOOKUP(C33,[1]Sheet1!$A$1:$AC$452,18,FALSE)</f>
        <v>1974</v>
      </c>
    </row>
    <row r="34" spans="1:82" x14ac:dyDescent="0.3">
      <c r="A34" t="s">
        <v>86</v>
      </c>
      <c r="B34">
        <v>20408</v>
      </c>
      <c r="C34">
        <v>446</v>
      </c>
      <c r="D34" s="1">
        <v>46164</v>
      </c>
      <c r="E34">
        <v>21</v>
      </c>
      <c r="F34">
        <v>5</v>
      </c>
      <c r="G34" s="1">
        <v>46188</v>
      </c>
      <c r="H34" t="s">
        <v>87</v>
      </c>
      <c r="I34" t="s">
        <v>88</v>
      </c>
      <c r="J34" t="s">
        <v>169</v>
      </c>
      <c r="K34">
        <v>11</v>
      </c>
      <c r="L34" t="s">
        <v>170</v>
      </c>
      <c r="M34">
        <v>346</v>
      </c>
      <c r="N34" t="s">
        <v>121</v>
      </c>
      <c r="O34" t="s">
        <v>122</v>
      </c>
      <c r="P34" t="s">
        <v>123</v>
      </c>
      <c r="R34" t="s">
        <v>171</v>
      </c>
      <c r="T34" t="s">
        <v>193</v>
      </c>
      <c r="U34" t="s">
        <v>193</v>
      </c>
      <c r="V34" t="s">
        <v>100</v>
      </c>
      <c r="W34" t="s">
        <v>142</v>
      </c>
      <c r="X34" t="s">
        <v>174</v>
      </c>
      <c r="Y34" t="s">
        <v>175</v>
      </c>
      <c r="Z34">
        <v>15</v>
      </c>
      <c r="AA34" t="s">
        <v>89</v>
      </c>
      <c r="AB34" t="s">
        <v>89</v>
      </c>
      <c r="AC34" t="s">
        <v>90</v>
      </c>
      <c r="AD34" t="s">
        <v>105</v>
      </c>
      <c r="AE34">
        <v>60</v>
      </c>
      <c r="AF34">
        <v>900</v>
      </c>
      <c r="AG34">
        <v>10</v>
      </c>
      <c r="AK34" t="s">
        <v>176</v>
      </c>
      <c r="AM34" t="s">
        <v>92</v>
      </c>
      <c r="AN34" t="s">
        <v>93</v>
      </c>
      <c r="AO34" t="s">
        <v>177</v>
      </c>
      <c r="AV34" t="s">
        <v>136</v>
      </c>
      <c r="AW34" t="s">
        <v>178</v>
      </c>
      <c r="AY34" t="s">
        <v>179</v>
      </c>
      <c r="AZ34" s="1">
        <v>46166</v>
      </c>
      <c r="BA34" t="s">
        <v>145</v>
      </c>
      <c r="BB34">
        <v>446</v>
      </c>
      <c r="BF34" t="s">
        <v>100</v>
      </c>
      <c r="BG34">
        <v>19</v>
      </c>
      <c r="BH34" t="s">
        <v>102</v>
      </c>
      <c r="BJ34" t="s">
        <v>94</v>
      </c>
      <c r="BK34" t="s">
        <v>171</v>
      </c>
      <c r="BL34" t="s">
        <v>100</v>
      </c>
      <c r="BP34" t="s">
        <v>147</v>
      </c>
      <c r="BQ34">
        <v>476</v>
      </c>
      <c r="BR34" t="s">
        <v>113</v>
      </c>
      <c r="BS34" t="s">
        <v>180</v>
      </c>
      <c r="BT34" t="s">
        <v>103</v>
      </c>
      <c r="BU34" t="s">
        <v>97</v>
      </c>
      <c r="BV34" t="s">
        <v>181</v>
      </c>
      <c r="BW34" t="s">
        <v>182</v>
      </c>
      <c r="BX34">
        <v>46164</v>
      </c>
      <c r="BZ34" t="s">
        <v>94</v>
      </c>
      <c r="CA34">
        <v>46160</v>
      </c>
      <c r="CB34" s="2">
        <v>46166</v>
      </c>
      <c r="CC34" s="2">
        <v>46188</v>
      </c>
      <c r="CD34">
        <f>+VLOOKUP(C34,[1]Sheet1!$A$1:$AC$452,18,FALSE)</f>
        <v>1974</v>
      </c>
    </row>
    <row r="35" spans="1:82" x14ac:dyDescent="0.3">
      <c r="A35" t="s">
        <v>86</v>
      </c>
      <c r="B35">
        <v>20409</v>
      </c>
      <c r="C35">
        <v>446</v>
      </c>
      <c r="D35" s="1">
        <v>46164</v>
      </c>
      <c r="E35">
        <v>21</v>
      </c>
      <c r="F35">
        <v>5</v>
      </c>
      <c r="G35" s="1">
        <v>46188</v>
      </c>
      <c r="H35" t="s">
        <v>87</v>
      </c>
      <c r="I35" t="s">
        <v>88</v>
      </c>
      <c r="J35" t="s">
        <v>169</v>
      </c>
      <c r="K35">
        <v>11</v>
      </c>
      <c r="L35" t="s">
        <v>170</v>
      </c>
      <c r="M35">
        <v>346</v>
      </c>
      <c r="N35" t="s">
        <v>121</v>
      </c>
      <c r="O35" t="s">
        <v>122</v>
      </c>
      <c r="P35" t="s">
        <v>123</v>
      </c>
      <c r="R35" t="s">
        <v>171</v>
      </c>
      <c r="T35" t="s">
        <v>194</v>
      </c>
      <c r="U35" t="s">
        <v>194</v>
      </c>
      <c r="V35" t="s">
        <v>100</v>
      </c>
      <c r="W35" t="s">
        <v>142</v>
      </c>
      <c r="X35" t="s">
        <v>174</v>
      </c>
      <c r="Y35" t="s">
        <v>175</v>
      </c>
      <c r="Z35">
        <v>15</v>
      </c>
      <c r="AA35" t="s">
        <v>89</v>
      </c>
      <c r="AB35" t="s">
        <v>89</v>
      </c>
      <c r="AC35" t="s">
        <v>90</v>
      </c>
      <c r="AD35" t="s">
        <v>107</v>
      </c>
      <c r="AE35">
        <v>60</v>
      </c>
      <c r="AF35">
        <v>900</v>
      </c>
      <c r="AG35">
        <v>10</v>
      </c>
      <c r="AK35" t="s">
        <v>176</v>
      </c>
      <c r="AM35" t="s">
        <v>92</v>
      </c>
      <c r="AN35" t="s">
        <v>93</v>
      </c>
      <c r="AO35" t="s">
        <v>177</v>
      </c>
      <c r="AV35" t="s">
        <v>136</v>
      </c>
      <c r="AW35" t="s">
        <v>178</v>
      </c>
      <c r="AY35" t="s">
        <v>179</v>
      </c>
      <c r="AZ35" s="1">
        <v>46166</v>
      </c>
      <c r="BA35" t="s">
        <v>145</v>
      </c>
      <c r="BB35">
        <v>446</v>
      </c>
      <c r="BF35" t="s">
        <v>100</v>
      </c>
      <c r="BG35">
        <v>19</v>
      </c>
      <c r="BH35" t="s">
        <v>102</v>
      </c>
      <c r="BJ35" t="s">
        <v>94</v>
      </c>
      <c r="BK35" t="s">
        <v>171</v>
      </c>
      <c r="BL35" t="s">
        <v>100</v>
      </c>
      <c r="BP35" t="s">
        <v>147</v>
      </c>
      <c r="BQ35">
        <v>476</v>
      </c>
      <c r="BR35" t="s">
        <v>113</v>
      </c>
      <c r="BS35" t="s">
        <v>180</v>
      </c>
      <c r="BT35" t="s">
        <v>103</v>
      </c>
      <c r="BU35" t="s">
        <v>97</v>
      </c>
      <c r="BV35" t="s">
        <v>181</v>
      </c>
      <c r="BW35" t="s">
        <v>182</v>
      </c>
      <c r="BX35">
        <v>46164</v>
      </c>
      <c r="BZ35" t="s">
        <v>94</v>
      </c>
      <c r="CA35">
        <v>46160</v>
      </c>
      <c r="CB35" s="2">
        <v>46166</v>
      </c>
      <c r="CC35" s="2">
        <v>46188</v>
      </c>
      <c r="CD35">
        <f>+VLOOKUP(C35,[1]Sheet1!$A$1:$AC$452,18,FALSE)</f>
        <v>1974</v>
      </c>
    </row>
    <row r="36" spans="1:82" x14ac:dyDescent="0.3">
      <c r="A36" t="s">
        <v>86</v>
      </c>
      <c r="B36">
        <v>20410</v>
      </c>
      <c r="C36">
        <v>446</v>
      </c>
      <c r="D36" s="1">
        <v>46164</v>
      </c>
      <c r="E36">
        <v>21</v>
      </c>
      <c r="F36">
        <v>5</v>
      </c>
      <c r="G36" s="1">
        <v>46188</v>
      </c>
      <c r="H36" t="s">
        <v>87</v>
      </c>
      <c r="I36" t="s">
        <v>88</v>
      </c>
      <c r="J36" t="s">
        <v>169</v>
      </c>
      <c r="K36">
        <v>11</v>
      </c>
      <c r="L36" t="s">
        <v>170</v>
      </c>
      <c r="M36">
        <v>346</v>
      </c>
      <c r="N36" t="s">
        <v>121</v>
      </c>
      <c r="O36" t="s">
        <v>122</v>
      </c>
      <c r="P36" t="s">
        <v>123</v>
      </c>
      <c r="R36" t="s">
        <v>171</v>
      </c>
      <c r="T36" t="s">
        <v>195</v>
      </c>
      <c r="U36" t="s">
        <v>195</v>
      </c>
      <c r="V36" t="s">
        <v>100</v>
      </c>
      <c r="W36" t="s">
        <v>142</v>
      </c>
      <c r="X36" t="s">
        <v>174</v>
      </c>
      <c r="Y36" t="s">
        <v>175</v>
      </c>
      <c r="Z36">
        <v>15</v>
      </c>
      <c r="AA36" t="s">
        <v>89</v>
      </c>
      <c r="AB36" t="s">
        <v>89</v>
      </c>
      <c r="AC36" t="s">
        <v>90</v>
      </c>
      <c r="AD36" t="s">
        <v>105</v>
      </c>
      <c r="AE36">
        <v>45</v>
      </c>
      <c r="AF36">
        <v>675</v>
      </c>
      <c r="AG36">
        <v>10</v>
      </c>
      <c r="AK36" t="s">
        <v>176</v>
      </c>
      <c r="AM36" t="s">
        <v>92</v>
      </c>
      <c r="AN36" t="s">
        <v>93</v>
      </c>
      <c r="AO36" t="s">
        <v>177</v>
      </c>
      <c r="AV36" t="s">
        <v>136</v>
      </c>
      <c r="AW36" t="s">
        <v>178</v>
      </c>
      <c r="AY36" t="s">
        <v>179</v>
      </c>
      <c r="AZ36" s="1">
        <v>46166</v>
      </c>
      <c r="BA36" t="s">
        <v>145</v>
      </c>
      <c r="BB36">
        <v>446</v>
      </c>
      <c r="BF36" t="s">
        <v>100</v>
      </c>
      <c r="BG36">
        <v>19</v>
      </c>
      <c r="BH36" t="s">
        <v>102</v>
      </c>
      <c r="BJ36" t="s">
        <v>94</v>
      </c>
      <c r="BK36" t="s">
        <v>171</v>
      </c>
      <c r="BL36" t="s">
        <v>100</v>
      </c>
      <c r="BP36" t="s">
        <v>147</v>
      </c>
      <c r="BQ36">
        <v>476</v>
      </c>
      <c r="BR36" t="s">
        <v>113</v>
      </c>
      <c r="BS36" t="s">
        <v>180</v>
      </c>
      <c r="BT36" t="s">
        <v>103</v>
      </c>
      <c r="BU36" t="s">
        <v>97</v>
      </c>
      <c r="BV36" t="s">
        <v>181</v>
      </c>
      <c r="BW36" t="s">
        <v>182</v>
      </c>
      <c r="BX36">
        <v>46164</v>
      </c>
      <c r="BZ36" t="s">
        <v>94</v>
      </c>
      <c r="CA36">
        <v>46160</v>
      </c>
      <c r="CB36" s="2">
        <v>46166</v>
      </c>
      <c r="CC36" s="2">
        <v>46188</v>
      </c>
      <c r="CD36">
        <f>+VLOOKUP(C36,[1]Sheet1!$A$1:$AC$452,18,FALSE)</f>
        <v>1974</v>
      </c>
    </row>
    <row r="37" spans="1:82" x14ac:dyDescent="0.3">
      <c r="A37" t="s">
        <v>86</v>
      </c>
      <c r="B37">
        <v>20411</v>
      </c>
      <c r="C37">
        <v>446</v>
      </c>
      <c r="D37" s="1">
        <v>46164</v>
      </c>
      <c r="E37">
        <v>21</v>
      </c>
      <c r="F37">
        <v>5</v>
      </c>
      <c r="G37" s="1">
        <v>46188</v>
      </c>
      <c r="H37" t="s">
        <v>87</v>
      </c>
      <c r="I37" t="s">
        <v>88</v>
      </c>
      <c r="J37" t="s">
        <v>169</v>
      </c>
      <c r="K37">
        <v>11</v>
      </c>
      <c r="L37" t="s">
        <v>170</v>
      </c>
      <c r="M37">
        <v>346</v>
      </c>
      <c r="N37" t="s">
        <v>121</v>
      </c>
      <c r="O37" t="s">
        <v>122</v>
      </c>
      <c r="P37" t="s">
        <v>123</v>
      </c>
      <c r="R37" t="s">
        <v>171</v>
      </c>
      <c r="T37" t="s">
        <v>195</v>
      </c>
      <c r="U37" t="s">
        <v>195</v>
      </c>
      <c r="V37" t="s">
        <v>100</v>
      </c>
      <c r="W37" t="s">
        <v>142</v>
      </c>
      <c r="X37" t="s">
        <v>174</v>
      </c>
      <c r="Y37" t="s">
        <v>175</v>
      </c>
      <c r="Z37">
        <v>15</v>
      </c>
      <c r="AA37" t="s">
        <v>89</v>
      </c>
      <c r="AB37" t="s">
        <v>89</v>
      </c>
      <c r="AC37" t="s">
        <v>90</v>
      </c>
      <c r="AD37" t="s">
        <v>105</v>
      </c>
      <c r="AE37">
        <v>15</v>
      </c>
      <c r="AF37">
        <v>225</v>
      </c>
      <c r="AG37">
        <v>10</v>
      </c>
      <c r="AK37" t="s">
        <v>176</v>
      </c>
      <c r="AM37" t="s">
        <v>92</v>
      </c>
      <c r="AN37" t="s">
        <v>93</v>
      </c>
      <c r="AO37" t="s">
        <v>177</v>
      </c>
      <c r="AV37" t="s">
        <v>136</v>
      </c>
      <c r="AW37" t="s">
        <v>178</v>
      </c>
      <c r="AY37" t="s">
        <v>179</v>
      </c>
      <c r="AZ37" s="1">
        <v>46166</v>
      </c>
      <c r="BA37" t="s">
        <v>145</v>
      </c>
      <c r="BB37">
        <v>446</v>
      </c>
      <c r="BF37" t="s">
        <v>100</v>
      </c>
      <c r="BG37">
        <v>19</v>
      </c>
      <c r="BH37" t="s">
        <v>102</v>
      </c>
      <c r="BJ37" t="s">
        <v>94</v>
      </c>
      <c r="BK37" t="s">
        <v>171</v>
      </c>
      <c r="BL37" t="s">
        <v>100</v>
      </c>
      <c r="BP37" t="s">
        <v>147</v>
      </c>
      <c r="BQ37">
        <v>476</v>
      </c>
      <c r="BR37" t="s">
        <v>113</v>
      </c>
      <c r="BS37" t="s">
        <v>180</v>
      </c>
      <c r="BT37" t="s">
        <v>103</v>
      </c>
      <c r="BU37" t="s">
        <v>97</v>
      </c>
      <c r="BV37" t="s">
        <v>181</v>
      </c>
      <c r="BW37" t="s">
        <v>182</v>
      </c>
      <c r="BX37">
        <v>46164</v>
      </c>
      <c r="BZ37" t="s">
        <v>94</v>
      </c>
      <c r="CA37">
        <v>46160</v>
      </c>
      <c r="CB37" s="2">
        <v>46166</v>
      </c>
      <c r="CC37" s="2">
        <v>46188</v>
      </c>
      <c r="CD37">
        <f>+VLOOKUP(C37,[1]Sheet1!$A$1:$AC$452,18,FALSE)</f>
        <v>1974</v>
      </c>
    </row>
    <row r="38" spans="1:82" x14ac:dyDescent="0.3">
      <c r="A38" t="s">
        <v>86</v>
      </c>
      <c r="B38">
        <v>20412</v>
      </c>
      <c r="C38">
        <v>446</v>
      </c>
      <c r="D38" s="1">
        <v>46164</v>
      </c>
      <c r="E38">
        <v>21</v>
      </c>
      <c r="F38">
        <v>5</v>
      </c>
      <c r="G38" s="1">
        <v>46188</v>
      </c>
      <c r="H38" t="s">
        <v>87</v>
      </c>
      <c r="I38" t="s">
        <v>88</v>
      </c>
      <c r="J38" t="s">
        <v>169</v>
      </c>
      <c r="K38">
        <v>11</v>
      </c>
      <c r="L38" t="s">
        <v>170</v>
      </c>
      <c r="M38">
        <v>346</v>
      </c>
      <c r="N38" t="s">
        <v>121</v>
      </c>
      <c r="O38" t="s">
        <v>122</v>
      </c>
      <c r="P38" t="s">
        <v>123</v>
      </c>
      <c r="R38" t="s">
        <v>171</v>
      </c>
      <c r="T38" t="s">
        <v>196</v>
      </c>
      <c r="U38" t="s">
        <v>196</v>
      </c>
      <c r="V38" t="s">
        <v>100</v>
      </c>
      <c r="W38" t="s">
        <v>142</v>
      </c>
      <c r="X38" t="s">
        <v>174</v>
      </c>
      <c r="Y38" t="s">
        <v>175</v>
      </c>
      <c r="Z38">
        <v>15</v>
      </c>
      <c r="AA38" t="s">
        <v>89</v>
      </c>
      <c r="AB38" t="s">
        <v>89</v>
      </c>
      <c r="AC38" t="s">
        <v>90</v>
      </c>
      <c r="AD38" t="s">
        <v>107</v>
      </c>
      <c r="AE38">
        <v>60</v>
      </c>
      <c r="AF38">
        <v>900</v>
      </c>
      <c r="AG38">
        <v>10</v>
      </c>
      <c r="AK38" t="s">
        <v>176</v>
      </c>
      <c r="AM38" t="s">
        <v>92</v>
      </c>
      <c r="AN38" t="s">
        <v>93</v>
      </c>
      <c r="AO38" t="s">
        <v>177</v>
      </c>
      <c r="AV38" t="s">
        <v>136</v>
      </c>
      <c r="AW38" t="s">
        <v>178</v>
      </c>
      <c r="AY38" t="s">
        <v>179</v>
      </c>
      <c r="AZ38" s="1">
        <v>46166</v>
      </c>
      <c r="BA38" t="s">
        <v>145</v>
      </c>
      <c r="BB38">
        <v>446</v>
      </c>
      <c r="BF38" t="s">
        <v>100</v>
      </c>
      <c r="BG38">
        <v>19</v>
      </c>
      <c r="BH38" t="s">
        <v>102</v>
      </c>
      <c r="BJ38" t="s">
        <v>94</v>
      </c>
      <c r="BK38" t="s">
        <v>171</v>
      </c>
      <c r="BL38" t="s">
        <v>100</v>
      </c>
      <c r="BP38" t="s">
        <v>147</v>
      </c>
      <c r="BQ38">
        <v>476</v>
      </c>
      <c r="BR38" t="s">
        <v>113</v>
      </c>
      <c r="BS38" t="s">
        <v>180</v>
      </c>
      <c r="BT38" t="s">
        <v>103</v>
      </c>
      <c r="BU38" t="s">
        <v>97</v>
      </c>
      <c r="BV38" t="s">
        <v>181</v>
      </c>
      <c r="BW38" t="s">
        <v>182</v>
      </c>
      <c r="BX38">
        <v>46164</v>
      </c>
      <c r="BZ38" t="s">
        <v>94</v>
      </c>
      <c r="CA38">
        <v>46160</v>
      </c>
      <c r="CB38" s="2">
        <v>46166</v>
      </c>
      <c r="CC38" s="2">
        <v>46188</v>
      </c>
      <c r="CD38">
        <f>+VLOOKUP(C38,[1]Sheet1!$A$1:$AC$452,18,FALSE)</f>
        <v>1974</v>
      </c>
    </row>
    <row r="39" spans="1:82" x14ac:dyDescent="0.3">
      <c r="A39" t="s">
        <v>86</v>
      </c>
      <c r="B39">
        <v>20413</v>
      </c>
      <c r="C39">
        <v>446</v>
      </c>
      <c r="D39" s="1">
        <v>46164</v>
      </c>
      <c r="E39">
        <v>21</v>
      </c>
      <c r="F39">
        <v>5</v>
      </c>
      <c r="G39" s="1">
        <v>46188</v>
      </c>
      <c r="H39" t="s">
        <v>87</v>
      </c>
      <c r="I39" t="s">
        <v>88</v>
      </c>
      <c r="J39" t="s">
        <v>169</v>
      </c>
      <c r="K39">
        <v>11</v>
      </c>
      <c r="L39" t="s">
        <v>170</v>
      </c>
      <c r="M39">
        <v>346</v>
      </c>
      <c r="N39" t="s">
        <v>121</v>
      </c>
      <c r="O39" t="s">
        <v>122</v>
      </c>
      <c r="P39" t="s">
        <v>123</v>
      </c>
      <c r="R39" t="s">
        <v>171</v>
      </c>
      <c r="T39" t="s">
        <v>197</v>
      </c>
      <c r="U39" t="s">
        <v>197</v>
      </c>
      <c r="V39" t="s">
        <v>100</v>
      </c>
      <c r="W39" t="s">
        <v>142</v>
      </c>
      <c r="X39" t="s">
        <v>174</v>
      </c>
      <c r="Y39" t="s">
        <v>175</v>
      </c>
      <c r="Z39">
        <v>15</v>
      </c>
      <c r="AA39" t="s">
        <v>89</v>
      </c>
      <c r="AB39" t="s">
        <v>89</v>
      </c>
      <c r="AC39" t="s">
        <v>90</v>
      </c>
      <c r="AD39" t="s">
        <v>105</v>
      </c>
      <c r="AE39">
        <v>60</v>
      </c>
      <c r="AF39">
        <v>900</v>
      </c>
      <c r="AG39">
        <v>10</v>
      </c>
      <c r="AK39" t="s">
        <v>176</v>
      </c>
      <c r="AM39" t="s">
        <v>92</v>
      </c>
      <c r="AN39" t="s">
        <v>93</v>
      </c>
      <c r="AO39" t="s">
        <v>177</v>
      </c>
      <c r="AV39" t="s">
        <v>136</v>
      </c>
      <c r="AW39" t="s">
        <v>178</v>
      </c>
      <c r="AY39" t="s">
        <v>179</v>
      </c>
      <c r="AZ39" s="1">
        <v>46166</v>
      </c>
      <c r="BA39" t="s">
        <v>145</v>
      </c>
      <c r="BB39">
        <v>446</v>
      </c>
      <c r="BF39" t="s">
        <v>100</v>
      </c>
      <c r="BG39">
        <v>19</v>
      </c>
      <c r="BH39" t="s">
        <v>102</v>
      </c>
      <c r="BJ39" t="s">
        <v>94</v>
      </c>
      <c r="BK39" t="s">
        <v>171</v>
      </c>
      <c r="BL39" t="s">
        <v>100</v>
      </c>
      <c r="BP39" t="s">
        <v>147</v>
      </c>
      <c r="BQ39">
        <v>476</v>
      </c>
      <c r="BR39" t="s">
        <v>113</v>
      </c>
      <c r="BS39" t="s">
        <v>180</v>
      </c>
      <c r="BT39" t="s">
        <v>103</v>
      </c>
      <c r="BU39" t="s">
        <v>97</v>
      </c>
      <c r="BV39" t="s">
        <v>181</v>
      </c>
      <c r="BW39" t="s">
        <v>182</v>
      </c>
      <c r="BX39">
        <v>46164</v>
      </c>
      <c r="BZ39" t="s">
        <v>94</v>
      </c>
      <c r="CA39">
        <v>46160</v>
      </c>
      <c r="CB39" s="2">
        <v>46166</v>
      </c>
      <c r="CC39" s="2">
        <v>46188</v>
      </c>
      <c r="CD39">
        <f>+VLOOKUP(C39,[1]Sheet1!$A$1:$AC$452,18,FALSE)</f>
        <v>1974</v>
      </c>
    </row>
    <row r="40" spans="1:82" x14ac:dyDescent="0.3">
      <c r="A40" t="s">
        <v>86</v>
      </c>
      <c r="B40">
        <v>20414</v>
      </c>
      <c r="C40">
        <v>446</v>
      </c>
      <c r="D40" s="1">
        <v>46164</v>
      </c>
      <c r="E40">
        <v>21</v>
      </c>
      <c r="F40">
        <v>5</v>
      </c>
      <c r="G40" s="1">
        <v>46188</v>
      </c>
      <c r="H40" t="s">
        <v>87</v>
      </c>
      <c r="I40" t="s">
        <v>88</v>
      </c>
      <c r="J40" t="s">
        <v>169</v>
      </c>
      <c r="K40">
        <v>11</v>
      </c>
      <c r="L40" t="s">
        <v>170</v>
      </c>
      <c r="M40">
        <v>346</v>
      </c>
      <c r="N40" t="s">
        <v>121</v>
      </c>
      <c r="O40" t="s">
        <v>122</v>
      </c>
      <c r="P40" t="s">
        <v>123</v>
      </c>
      <c r="R40" t="s">
        <v>171</v>
      </c>
      <c r="T40" t="s">
        <v>198</v>
      </c>
      <c r="U40" t="s">
        <v>198</v>
      </c>
      <c r="V40" t="s">
        <v>100</v>
      </c>
      <c r="W40" t="s">
        <v>142</v>
      </c>
      <c r="X40" t="s">
        <v>174</v>
      </c>
      <c r="Y40" t="s">
        <v>175</v>
      </c>
      <c r="Z40">
        <v>15</v>
      </c>
      <c r="AA40" t="s">
        <v>89</v>
      </c>
      <c r="AB40" t="s">
        <v>89</v>
      </c>
      <c r="AC40" t="s">
        <v>90</v>
      </c>
      <c r="AD40" t="s">
        <v>107</v>
      </c>
      <c r="AE40">
        <v>60</v>
      </c>
      <c r="AF40">
        <v>900</v>
      </c>
      <c r="AG40">
        <v>10</v>
      </c>
      <c r="AK40" t="s">
        <v>176</v>
      </c>
      <c r="AM40" t="s">
        <v>92</v>
      </c>
      <c r="AN40" t="s">
        <v>93</v>
      </c>
      <c r="AO40" t="s">
        <v>177</v>
      </c>
      <c r="AV40" t="s">
        <v>136</v>
      </c>
      <c r="AW40" t="s">
        <v>178</v>
      </c>
      <c r="AY40" t="s">
        <v>179</v>
      </c>
      <c r="AZ40" s="1">
        <v>46166</v>
      </c>
      <c r="BA40" t="s">
        <v>145</v>
      </c>
      <c r="BB40">
        <v>446</v>
      </c>
      <c r="BF40" t="s">
        <v>100</v>
      </c>
      <c r="BG40">
        <v>19</v>
      </c>
      <c r="BH40" t="s">
        <v>102</v>
      </c>
      <c r="BJ40" t="s">
        <v>94</v>
      </c>
      <c r="BK40" t="s">
        <v>171</v>
      </c>
      <c r="BL40" t="s">
        <v>100</v>
      </c>
      <c r="BP40" t="s">
        <v>147</v>
      </c>
      <c r="BQ40">
        <v>476</v>
      </c>
      <c r="BR40" t="s">
        <v>113</v>
      </c>
      <c r="BS40" t="s">
        <v>180</v>
      </c>
      <c r="BT40" t="s">
        <v>103</v>
      </c>
      <c r="BU40" t="s">
        <v>97</v>
      </c>
      <c r="BV40" t="s">
        <v>181</v>
      </c>
      <c r="BW40" t="s">
        <v>182</v>
      </c>
      <c r="BX40">
        <v>46164</v>
      </c>
      <c r="BZ40" t="s">
        <v>94</v>
      </c>
      <c r="CA40">
        <v>46160</v>
      </c>
      <c r="CB40" s="2">
        <v>46166</v>
      </c>
      <c r="CC40" s="2">
        <v>46188</v>
      </c>
      <c r="CD40">
        <f>+VLOOKUP(C40,[1]Sheet1!$A$1:$AC$452,18,FALSE)</f>
        <v>1974</v>
      </c>
    </row>
    <row r="41" spans="1:82" x14ac:dyDescent="0.3">
      <c r="A41" t="s">
        <v>86</v>
      </c>
      <c r="B41">
        <v>20415</v>
      </c>
      <c r="C41">
        <v>446</v>
      </c>
      <c r="D41" s="1">
        <v>46164</v>
      </c>
      <c r="E41">
        <v>21</v>
      </c>
      <c r="F41">
        <v>5</v>
      </c>
      <c r="G41" s="1">
        <v>46188</v>
      </c>
      <c r="H41" t="s">
        <v>87</v>
      </c>
      <c r="I41" t="s">
        <v>88</v>
      </c>
      <c r="J41" t="s">
        <v>169</v>
      </c>
      <c r="K41">
        <v>11</v>
      </c>
      <c r="L41" t="s">
        <v>170</v>
      </c>
      <c r="M41">
        <v>346</v>
      </c>
      <c r="N41" t="s">
        <v>121</v>
      </c>
      <c r="O41" t="s">
        <v>122</v>
      </c>
      <c r="P41" t="s">
        <v>123</v>
      </c>
      <c r="R41" t="s">
        <v>171</v>
      </c>
      <c r="T41" t="s">
        <v>199</v>
      </c>
      <c r="U41" t="s">
        <v>199</v>
      </c>
      <c r="V41" t="s">
        <v>100</v>
      </c>
      <c r="W41" t="s">
        <v>142</v>
      </c>
      <c r="X41" t="s">
        <v>174</v>
      </c>
      <c r="Y41" t="s">
        <v>175</v>
      </c>
      <c r="Z41">
        <v>15</v>
      </c>
      <c r="AA41" t="s">
        <v>89</v>
      </c>
      <c r="AB41" t="s">
        <v>89</v>
      </c>
      <c r="AC41" t="s">
        <v>90</v>
      </c>
      <c r="AD41" t="s">
        <v>107</v>
      </c>
      <c r="AE41">
        <v>60</v>
      </c>
      <c r="AF41">
        <v>900</v>
      </c>
      <c r="AG41">
        <v>10</v>
      </c>
      <c r="AK41" t="s">
        <v>176</v>
      </c>
      <c r="AM41" t="s">
        <v>92</v>
      </c>
      <c r="AN41" t="s">
        <v>93</v>
      </c>
      <c r="AO41" t="s">
        <v>177</v>
      </c>
      <c r="AV41" t="s">
        <v>136</v>
      </c>
      <c r="AW41" t="s">
        <v>178</v>
      </c>
      <c r="AY41" t="s">
        <v>179</v>
      </c>
      <c r="AZ41" s="1">
        <v>46166</v>
      </c>
      <c r="BA41" t="s">
        <v>145</v>
      </c>
      <c r="BB41">
        <v>446</v>
      </c>
      <c r="BF41" t="s">
        <v>100</v>
      </c>
      <c r="BG41">
        <v>19</v>
      </c>
      <c r="BH41" t="s">
        <v>102</v>
      </c>
      <c r="BJ41" t="s">
        <v>94</v>
      </c>
      <c r="BK41" t="s">
        <v>171</v>
      </c>
      <c r="BL41" t="s">
        <v>100</v>
      </c>
      <c r="BP41" t="s">
        <v>147</v>
      </c>
      <c r="BQ41">
        <v>476</v>
      </c>
      <c r="BR41" t="s">
        <v>113</v>
      </c>
      <c r="BS41" t="s">
        <v>180</v>
      </c>
      <c r="BT41" t="s">
        <v>103</v>
      </c>
      <c r="BU41" t="s">
        <v>97</v>
      </c>
      <c r="BV41" t="s">
        <v>181</v>
      </c>
      <c r="BW41" t="s">
        <v>182</v>
      </c>
      <c r="BX41">
        <v>46164</v>
      </c>
      <c r="BZ41" t="s">
        <v>94</v>
      </c>
      <c r="CA41">
        <v>46160</v>
      </c>
      <c r="CB41" s="2">
        <v>46166</v>
      </c>
      <c r="CC41" s="2">
        <v>46188</v>
      </c>
      <c r="CD41">
        <f>+VLOOKUP(C41,[1]Sheet1!$A$1:$AC$452,18,FALSE)</f>
        <v>1974</v>
      </c>
    </row>
    <row r="42" spans="1:82" x14ac:dyDescent="0.3">
      <c r="A42" t="s">
        <v>86</v>
      </c>
      <c r="B42">
        <v>20416</v>
      </c>
      <c r="C42">
        <v>446</v>
      </c>
      <c r="D42" s="1">
        <v>46164</v>
      </c>
      <c r="E42">
        <v>21</v>
      </c>
      <c r="F42">
        <v>5</v>
      </c>
      <c r="G42" s="1">
        <v>46188</v>
      </c>
      <c r="H42" t="s">
        <v>87</v>
      </c>
      <c r="I42" t="s">
        <v>88</v>
      </c>
      <c r="J42" t="s">
        <v>169</v>
      </c>
      <c r="K42">
        <v>11</v>
      </c>
      <c r="L42" t="s">
        <v>170</v>
      </c>
      <c r="M42">
        <v>346</v>
      </c>
      <c r="N42" t="s">
        <v>121</v>
      </c>
      <c r="O42" t="s">
        <v>122</v>
      </c>
      <c r="P42" t="s">
        <v>123</v>
      </c>
      <c r="R42" t="s">
        <v>171</v>
      </c>
      <c r="T42" t="s">
        <v>200</v>
      </c>
      <c r="U42" t="s">
        <v>200</v>
      </c>
      <c r="V42" t="s">
        <v>100</v>
      </c>
      <c r="W42" t="s">
        <v>142</v>
      </c>
      <c r="X42" t="s">
        <v>174</v>
      </c>
      <c r="Y42" t="s">
        <v>175</v>
      </c>
      <c r="Z42">
        <v>15</v>
      </c>
      <c r="AA42" t="s">
        <v>89</v>
      </c>
      <c r="AB42" t="s">
        <v>89</v>
      </c>
      <c r="AC42" t="s">
        <v>90</v>
      </c>
      <c r="AD42" t="s">
        <v>107</v>
      </c>
      <c r="AE42">
        <v>60</v>
      </c>
      <c r="AF42">
        <v>900</v>
      </c>
      <c r="AG42">
        <v>10</v>
      </c>
      <c r="AK42" t="s">
        <v>176</v>
      </c>
      <c r="AM42" t="s">
        <v>92</v>
      </c>
      <c r="AN42" t="s">
        <v>93</v>
      </c>
      <c r="AO42" t="s">
        <v>177</v>
      </c>
      <c r="AV42" t="s">
        <v>136</v>
      </c>
      <c r="AW42" t="s">
        <v>178</v>
      </c>
      <c r="AY42" t="s">
        <v>179</v>
      </c>
      <c r="AZ42" s="1">
        <v>46166</v>
      </c>
      <c r="BA42" t="s">
        <v>145</v>
      </c>
      <c r="BB42">
        <v>446</v>
      </c>
      <c r="BF42" t="s">
        <v>100</v>
      </c>
      <c r="BG42">
        <v>19</v>
      </c>
      <c r="BH42" t="s">
        <v>102</v>
      </c>
      <c r="BJ42" t="s">
        <v>94</v>
      </c>
      <c r="BK42" t="s">
        <v>171</v>
      </c>
      <c r="BL42" t="s">
        <v>100</v>
      </c>
      <c r="BP42" t="s">
        <v>147</v>
      </c>
      <c r="BQ42">
        <v>476</v>
      </c>
      <c r="BR42" t="s">
        <v>113</v>
      </c>
      <c r="BS42" t="s">
        <v>180</v>
      </c>
      <c r="BT42" t="s">
        <v>103</v>
      </c>
      <c r="BU42" t="s">
        <v>97</v>
      </c>
      <c r="BV42" t="s">
        <v>181</v>
      </c>
      <c r="BW42" t="s">
        <v>182</v>
      </c>
      <c r="BX42">
        <v>46164</v>
      </c>
      <c r="BZ42" t="s">
        <v>94</v>
      </c>
      <c r="CA42">
        <v>46160</v>
      </c>
      <c r="CB42" s="2">
        <v>46166</v>
      </c>
      <c r="CC42" s="2">
        <v>46188</v>
      </c>
      <c r="CD42">
        <f>+VLOOKUP(C42,[1]Sheet1!$A$1:$AC$452,18,FALSE)</f>
        <v>1974</v>
      </c>
    </row>
    <row r="43" spans="1:82" x14ac:dyDescent="0.3">
      <c r="A43" t="s">
        <v>86</v>
      </c>
      <c r="B43">
        <v>20417</v>
      </c>
      <c r="C43">
        <v>446</v>
      </c>
      <c r="D43" s="1">
        <v>46164</v>
      </c>
      <c r="E43">
        <v>21</v>
      </c>
      <c r="F43">
        <v>5</v>
      </c>
      <c r="G43" s="1">
        <v>46188</v>
      </c>
      <c r="H43" t="s">
        <v>87</v>
      </c>
      <c r="I43" t="s">
        <v>88</v>
      </c>
      <c r="J43" t="s">
        <v>169</v>
      </c>
      <c r="K43">
        <v>11</v>
      </c>
      <c r="L43" t="s">
        <v>170</v>
      </c>
      <c r="M43">
        <v>346</v>
      </c>
      <c r="N43" t="s">
        <v>121</v>
      </c>
      <c r="O43" t="s">
        <v>122</v>
      </c>
      <c r="P43" t="s">
        <v>123</v>
      </c>
      <c r="R43" t="s">
        <v>171</v>
      </c>
      <c r="T43" t="s">
        <v>201</v>
      </c>
      <c r="U43" t="s">
        <v>201</v>
      </c>
      <c r="V43" t="s">
        <v>100</v>
      </c>
      <c r="W43" t="s">
        <v>142</v>
      </c>
      <c r="X43" t="s">
        <v>174</v>
      </c>
      <c r="Y43" t="s">
        <v>175</v>
      </c>
      <c r="Z43">
        <v>15</v>
      </c>
      <c r="AA43" t="s">
        <v>89</v>
      </c>
      <c r="AB43" t="s">
        <v>89</v>
      </c>
      <c r="AC43" t="s">
        <v>90</v>
      </c>
      <c r="AD43" t="s">
        <v>105</v>
      </c>
      <c r="AE43">
        <v>60</v>
      </c>
      <c r="AF43">
        <v>900</v>
      </c>
      <c r="AG43">
        <v>10</v>
      </c>
      <c r="AK43" t="s">
        <v>176</v>
      </c>
      <c r="AM43" t="s">
        <v>92</v>
      </c>
      <c r="AN43" t="s">
        <v>93</v>
      </c>
      <c r="AO43" t="s">
        <v>177</v>
      </c>
      <c r="AV43" t="s">
        <v>136</v>
      </c>
      <c r="AW43" t="s">
        <v>178</v>
      </c>
      <c r="AY43" t="s">
        <v>179</v>
      </c>
      <c r="AZ43" s="1">
        <v>46166</v>
      </c>
      <c r="BA43" t="s">
        <v>145</v>
      </c>
      <c r="BB43">
        <v>446</v>
      </c>
      <c r="BF43" t="s">
        <v>100</v>
      </c>
      <c r="BG43">
        <v>19</v>
      </c>
      <c r="BH43" t="s">
        <v>102</v>
      </c>
      <c r="BJ43" t="s">
        <v>94</v>
      </c>
      <c r="BK43" t="s">
        <v>171</v>
      </c>
      <c r="BL43" t="s">
        <v>100</v>
      </c>
      <c r="BP43" t="s">
        <v>147</v>
      </c>
      <c r="BQ43">
        <v>476</v>
      </c>
      <c r="BR43" t="s">
        <v>113</v>
      </c>
      <c r="BS43" t="s">
        <v>180</v>
      </c>
      <c r="BT43" t="s">
        <v>103</v>
      </c>
      <c r="BU43" t="s">
        <v>97</v>
      </c>
      <c r="BV43" t="s">
        <v>181</v>
      </c>
      <c r="BW43" t="s">
        <v>182</v>
      </c>
      <c r="BX43">
        <v>46164</v>
      </c>
      <c r="BZ43" t="s">
        <v>94</v>
      </c>
      <c r="CA43">
        <v>46160</v>
      </c>
      <c r="CB43" s="2">
        <v>46166</v>
      </c>
      <c r="CC43" s="2">
        <v>46188</v>
      </c>
      <c r="CD43">
        <f>+VLOOKUP(C43,[1]Sheet1!$A$1:$AC$452,18,FALSE)</f>
        <v>1974</v>
      </c>
    </row>
    <row r="44" spans="1:82" x14ac:dyDescent="0.3">
      <c r="A44" t="s">
        <v>86</v>
      </c>
      <c r="B44">
        <v>20418</v>
      </c>
      <c r="C44">
        <v>445</v>
      </c>
      <c r="D44" s="1">
        <v>46167</v>
      </c>
      <c r="E44">
        <v>22</v>
      </c>
      <c r="F44">
        <v>5</v>
      </c>
      <c r="G44" s="1">
        <v>46177</v>
      </c>
      <c r="H44" t="s">
        <v>87</v>
      </c>
      <c r="I44" t="s">
        <v>88</v>
      </c>
      <c r="J44" t="s">
        <v>132</v>
      </c>
      <c r="K44">
        <v>55</v>
      </c>
      <c r="L44" t="s">
        <v>133</v>
      </c>
      <c r="M44">
        <v>342</v>
      </c>
      <c r="N44" t="s">
        <v>91</v>
      </c>
      <c r="O44" t="s">
        <v>108</v>
      </c>
      <c r="P44" t="s">
        <v>104</v>
      </c>
      <c r="R44" t="s">
        <v>202</v>
      </c>
      <c r="T44" t="s">
        <v>203</v>
      </c>
      <c r="U44" t="s">
        <v>203</v>
      </c>
      <c r="V44" t="s">
        <v>100</v>
      </c>
      <c r="W44" t="s">
        <v>142</v>
      </c>
      <c r="X44" t="s">
        <v>143</v>
      </c>
      <c r="Y44" t="s">
        <v>95</v>
      </c>
      <c r="Z44">
        <v>15</v>
      </c>
      <c r="AA44" t="s">
        <v>89</v>
      </c>
      <c r="AB44" t="s">
        <v>89</v>
      </c>
      <c r="AC44" t="s">
        <v>90</v>
      </c>
      <c r="AD44" t="s">
        <v>111</v>
      </c>
      <c r="AE44">
        <v>80</v>
      </c>
      <c r="AF44">
        <v>1200</v>
      </c>
      <c r="AG44">
        <v>10</v>
      </c>
      <c r="AK44" t="s">
        <v>115</v>
      </c>
      <c r="AM44" t="s">
        <v>96</v>
      </c>
      <c r="AN44" t="s">
        <v>93</v>
      </c>
      <c r="AO44" t="s">
        <v>129</v>
      </c>
      <c r="AV44" t="s">
        <v>205</v>
      </c>
      <c r="AW44" t="s">
        <v>206</v>
      </c>
      <c r="AY44" t="s">
        <v>130</v>
      </c>
      <c r="AZ44" s="1">
        <v>46171</v>
      </c>
      <c r="BA44" t="s">
        <v>145</v>
      </c>
      <c r="BB44">
        <v>445</v>
      </c>
      <c r="BF44" t="s">
        <v>100</v>
      </c>
      <c r="BG44">
        <v>119</v>
      </c>
      <c r="BH44" t="s">
        <v>207</v>
      </c>
      <c r="BJ44" t="s">
        <v>94</v>
      </c>
      <c r="BK44" t="s">
        <v>202</v>
      </c>
      <c r="BL44" t="s">
        <v>100</v>
      </c>
      <c r="BP44" t="s">
        <v>147</v>
      </c>
      <c r="BQ44">
        <v>475</v>
      </c>
      <c r="BR44" t="s">
        <v>126</v>
      </c>
      <c r="BS44" t="s">
        <v>127</v>
      </c>
      <c r="BT44" t="s">
        <v>208</v>
      </c>
      <c r="BU44" t="s">
        <v>131</v>
      </c>
      <c r="BV44" t="s">
        <v>209</v>
      </c>
      <c r="BW44" t="s">
        <v>209</v>
      </c>
      <c r="BX44">
        <v>46167</v>
      </c>
      <c r="BZ44" t="s">
        <v>94</v>
      </c>
      <c r="CA44">
        <v>46164</v>
      </c>
      <c r="CB44" s="2">
        <v>46171</v>
      </c>
      <c r="CC44" s="2">
        <v>46177</v>
      </c>
      <c r="CD44">
        <f>+VLOOKUP(C44,[1]Sheet1!$A$1:$AC$452,18,FALSE)</f>
        <v>1975</v>
      </c>
    </row>
    <row r="45" spans="1:82" x14ac:dyDescent="0.3">
      <c r="A45" t="s">
        <v>86</v>
      </c>
      <c r="B45">
        <v>20419</v>
      </c>
      <c r="C45">
        <v>445</v>
      </c>
      <c r="D45" s="1">
        <v>46167</v>
      </c>
      <c r="E45">
        <v>22</v>
      </c>
      <c r="F45">
        <v>5</v>
      </c>
      <c r="G45" s="1">
        <v>46177</v>
      </c>
      <c r="H45" t="s">
        <v>87</v>
      </c>
      <c r="I45" t="s">
        <v>88</v>
      </c>
      <c r="J45" t="s">
        <v>132</v>
      </c>
      <c r="K45">
        <v>55</v>
      </c>
      <c r="L45" t="s">
        <v>133</v>
      </c>
      <c r="M45">
        <v>342</v>
      </c>
      <c r="N45" t="s">
        <v>91</v>
      </c>
      <c r="O45" t="s">
        <v>108</v>
      </c>
      <c r="P45" t="s">
        <v>104</v>
      </c>
      <c r="R45" t="s">
        <v>202</v>
      </c>
      <c r="T45" t="s">
        <v>210</v>
      </c>
      <c r="U45" t="s">
        <v>210</v>
      </c>
      <c r="V45" t="s">
        <v>100</v>
      </c>
      <c r="W45" t="s">
        <v>142</v>
      </c>
      <c r="X45" t="s">
        <v>143</v>
      </c>
      <c r="Y45" t="s">
        <v>95</v>
      </c>
      <c r="Z45">
        <v>15</v>
      </c>
      <c r="AA45" t="s">
        <v>89</v>
      </c>
      <c r="AB45" t="s">
        <v>89</v>
      </c>
      <c r="AC45" t="s">
        <v>90</v>
      </c>
      <c r="AD45" t="s">
        <v>117</v>
      </c>
      <c r="AE45">
        <v>80</v>
      </c>
      <c r="AF45">
        <v>1200</v>
      </c>
      <c r="AG45">
        <v>10</v>
      </c>
      <c r="AK45" t="s">
        <v>115</v>
      </c>
      <c r="AM45" t="s">
        <v>96</v>
      </c>
      <c r="AN45" t="s">
        <v>93</v>
      </c>
      <c r="AO45" t="s">
        <v>129</v>
      </c>
      <c r="AV45" t="s">
        <v>205</v>
      </c>
      <c r="AW45" t="s">
        <v>206</v>
      </c>
      <c r="AY45" t="s">
        <v>130</v>
      </c>
      <c r="AZ45" s="1">
        <v>46171</v>
      </c>
      <c r="BA45" t="s">
        <v>145</v>
      </c>
      <c r="BB45">
        <v>445</v>
      </c>
      <c r="BF45" t="s">
        <v>100</v>
      </c>
      <c r="BG45">
        <v>119</v>
      </c>
      <c r="BH45" t="s">
        <v>207</v>
      </c>
      <c r="BJ45" t="s">
        <v>94</v>
      </c>
      <c r="BK45" t="s">
        <v>202</v>
      </c>
      <c r="BL45" t="s">
        <v>100</v>
      </c>
      <c r="BP45" t="s">
        <v>147</v>
      </c>
      <c r="BQ45">
        <v>475</v>
      </c>
      <c r="BR45" t="s">
        <v>126</v>
      </c>
      <c r="BS45" t="s">
        <v>127</v>
      </c>
      <c r="BT45" t="s">
        <v>208</v>
      </c>
      <c r="BU45" t="s">
        <v>131</v>
      </c>
      <c r="BV45" t="s">
        <v>209</v>
      </c>
      <c r="BW45" t="s">
        <v>209</v>
      </c>
      <c r="BX45">
        <v>46167</v>
      </c>
      <c r="BZ45" t="s">
        <v>94</v>
      </c>
      <c r="CA45">
        <v>46164</v>
      </c>
      <c r="CB45" s="2">
        <v>46171</v>
      </c>
      <c r="CC45" s="2">
        <v>46177</v>
      </c>
      <c r="CD45">
        <f>+VLOOKUP(C45,[1]Sheet1!$A$1:$AC$452,18,FALSE)</f>
        <v>1975</v>
      </c>
    </row>
    <row r="46" spans="1:82" x14ac:dyDescent="0.3">
      <c r="A46" t="s">
        <v>86</v>
      </c>
      <c r="B46">
        <v>20420</v>
      </c>
      <c r="C46">
        <v>445</v>
      </c>
      <c r="D46" s="1">
        <v>46167</v>
      </c>
      <c r="E46">
        <v>22</v>
      </c>
      <c r="F46">
        <v>5</v>
      </c>
      <c r="G46" s="1">
        <v>46177</v>
      </c>
      <c r="H46" t="s">
        <v>87</v>
      </c>
      <c r="I46" t="s">
        <v>88</v>
      </c>
      <c r="J46" t="s">
        <v>132</v>
      </c>
      <c r="K46">
        <v>55</v>
      </c>
      <c r="L46" t="s">
        <v>133</v>
      </c>
      <c r="M46">
        <v>342</v>
      </c>
      <c r="N46" t="s">
        <v>91</v>
      </c>
      <c r="O46" t="s">
        <v>108</v>
      </c>
      <c r="P46" t="s">
        <v>104</v>
      </c>
      <c r="R46" t="s">
        <v>202</v>
      </c>
      <c r="T46" t="s">
        <v>211</v>
      </c>
      <c r="U46" t="s">
        <v>211</v>
      </c>
      <c r="V46" t="s">
        <v>100</v>
      </c>
      <c r="W46" t="s">
        <v>142</v>
      </c>
      <c r="X46" t="s">
        <v>143</v>
      </c>
      <c r="Y46" t="s">
        <v>95</v>
      </c>
      <c r="Z46">
        <v>15</v>
      </c>
      <c r="AA46" t="s">
        <v>89</v>
      </c>
      <c r="AB46" t="s">
        <v>89</v>
      </c>
      <c r="AC46" t="s">
        <v>90</v>
      </c>
      <c r="AD46" t="s">
        <v>111</v>
      </c>
      <c r="AE46">
        <v>80</v>
      </c>
      <c r="AF46">
        <v>1200</v>
      </c>
      <c r="AG46">
        <v>10</v>
      </c>
      <c r="AK46" t="s">
        <v>115</v>
      </c>
      <c r="AM46" t="s">
        <v>96</v>
      </c>
      <c r="AN46" t="s">
        <v>93</v>
      </c>
      <c r="AO46" t="s">
        <v>129</v>
      </c>
      <c r="AV46" t="s">
        <v>205</v>
      </c>
      <c r="AW46" t="s">
        <v>206</v>
      </c>
      <c r="AY46" t="s">
        <v>130</v>
      </c>
      <c r="AZ46" s="1">
        <v>46171</v>
      </c>
      <c r="BA46" t="s">
        <v>145</v>
      </c>
      <c r="BB46">
        <v>445</v>
      </c>
      <c r="BF46" t="s">
        <v>100</v>
      </c>
      <c r="BG46">
        <v>119</v>
      </c>
      <c r="BH46" t="s">
        <v>207</v>
      </c>
      <c r="BJ46" t="s">
        <v>94</v>
      </c>
      <c r="BK46" t="s">
        <v>202</v>
      </c>
      <c r="BL46" t="s">
        <v>100</v>
      </c>
      <c r="BP46" t="s">
        <v>147</v>
      </c>
      <c r="BQ46">
        <v>475</v>
      </c>
      <c r="BR46" t="s">
        <v>126</v>
      </c>
      <c r="BS46" t="s">
        <v>127</v>
      </c>
      <c r="BT46" t="s">
        <v>208</v>
      </c>
      <c r="BU46" t="s">
        <v>131</v>
      </c>
      <c r="BV46" t="s">
        <v>209</v>
      </c>
      <c r="BW46" t="s">
        <v>209</v>
      </c>
      <c r="BX46">
        <v>46167</v>
      </c>
      <c r="BZ46" t="s">
        <v>94</v>
      </c>
      <c r="CA46">
        <v>46164</v>
      </c>
      <c r="CB46" s="2">
        <v>46171</v>
      </c>
      <c r="CC46" s="2">
        <v>46177</v>
      </c>
      <c r="CD46">
        <f>+VLOOKUP(C46,[1]Sheet1!$A$1:$AC$452,18,FALSE)</f>
        <v>1975</v>
      </c>
    </row>
    <row r="47" spans="1:82" x14ac:dyDescent="0.3">
      <c r="A47" t="s">
        <v>86</v>
      </c>
      <c r="B47">
        <v>20421</v>
      </c>
      <c r="C47">
        <v>445</v>
      </c>
      <c r="D47" s="1">
        <v>46167</v>
      </c>
      <c r="E47">
        <v>22</v>
      </c>
      <c r="F47">
        <v>5</v>
      </c>
      <c r="G47" s="1">
        <v>46177</v>
      </c>
      <c r="H47" t="s">
        <v>87</v>
      </c>
      <c r="I47" t="s">
        <v>88</v>
      </c>
      <c r="J47" t="s">
        <v>132</v>
      </c>
      <c r="K47">
        <v>55</v>
      </c>
      <c r="L47" t="s">
        <v>133</v>
      </c>
      <c r="M47">
        <v>342</v>
      </c>
      <c r="N47" t="s">
        <v>91</v>
      </c>
      <c r="O47" t="s">
        <v>108</v>
      </c>
      <c r="P47" t="s">
        <v>104</v>
      </c>
      <c r="R47" t="s">
        <v>202</v>
      </c>
      <c r="T47" t="s">
        <v>212</v>
      </c>
      <c r="U47" t="s">
        <v>212</v>
      </c>
      <c r="V47" t="s">
        <v>100</v>
      </c>
      <c r="W47" t="s">
        <v>142</v>
      </c>
      <c r="X47" t="s">
        <v>143</v>
      </c>
      <c r="Y47" t="s">
        <v>95</v>
      </c>
      <c r="Z47">
        <v>15</v>
      </c>
      <c r="AA47" t="s">
        <v>89</v>
      </c>
      <c r="AB47" t="s">
        <v>89</v>
      </c>
      <c r="AC47" t="s">
        <v>90</v>
      </c>
      <c r="AD47" t="s">
        <v>117</v>
      </c>
      <c r="AE47">
        <v>80</v>
      </c>
      <c r="AF47">
        <v>1200</v>
      </c>
      <c r="AG47">
        <v>10</v>
      </c>
      <c r="AK47" t="s">
        <v>115</v>
      </c>
      <c r="AM47" t="s">
        <v>96</v>
      </c>
      <c r="AN47" t="s">
        <v>93</v>
      </c>
      <c r="AO47" t="s">
        <v>129</v>
      </c>
      <c r="AV47" t="s">
        <v>205</v>
      </c>
      <c r="AW47" t="s">
        <v>206</v>
      </c>
      <c r="AY47" t="s">
        <v>130</v>
      </c>
      <c r="AZ47" s="1">
        <v>46171</v>
      </c>
      <c r="BA47" t="s">
        <v>145</v>
      </c>
      <c r="BB47">
        <v>445</v>
      </c>
      <c r="BF47" t="s">
        <v>100</v>
      </c>
      <c r="BG47">
        <v>119</v>
      </c>
      <c r="BH47" t="s">
        <v>207</v>
      </c>
      <c r="BJ47" t="s">
        <v>94</v>
      </c>
      <c r="BK47" t="s">
        <v>202</v>
      </c>
      <c r="BL47" t="s">
        <v>100</v>
      </c>
      <c r="BP47" t="s">
        <v>147</v>
      </c>
      <c r="BQ47">
        <v>475</v>
      </c>
      <c r="BR47" t="s">
        <v>126</v>
      </c>
      <c r="BS47" t="s">
        <v>127</v>
      </c>
      <c r="BT47" t="s">
        <v>208</v>
      </c>
      <c r="BU47" t="s">
        <v>131</v>
      </c>
      <c r="BV47" t="s">
        <v>209</v>
      </c>
      <c r="BW47" t="s">
        <v>209</v>
      </c>
      <c r="BX47">
        <v>46167</v>
      </c>
      <c r="BZ47" t="s">
        <v>94</v>
      </c>
      <c r="CA47">
        <v>46164</v>
      </c>
      <c r="CB47" s="2">
        <v>46171</v>
      </c>
      <c r="CC47" s="2">
        <v>46177</v>
      </c>
      <c r="CD47">
        <f>+VLOOKUP(C47,[1]Sheet1!$A$1:$AC$452,18,FALSE)</f>
        <v>1975</v>
      </c>
    </row>
    <row r="48" spans="1:82" x14ac:dyDescent="0.3">
      <c r="A48" t="s">
        <v>86</v>
      </c>
      <c r="B48">
        <v>20422</v>
      </c>
      <c r="C48">
        <v>445</v>
      </c>
      <c r="D48" s="1">
        <v>46167</v>
      </c>
      <c r="E48">
        <v>22</v>
      </c>
      <c r="F48">
        <v>5</v>
      </c>
      <c r="G48" s="1">
        <v>46177</v>
      </c>
      <c r="H48" t="s">
        <v>87</v>
      </c>
      <c r="I48" t="s">
        <v>88</v>
      </c>
      <c r="J48" t="s">
        <v>132</v>
      </c>
      <c r="K48">
        <v>55</v>
      </c>
      <c r="L48" t="s">
        <v>133</v>
      </c>
      <c r="M48">
        <v>342</v>
      </c>
      <c r="N48" t="s">
        <v>91</v>
      </c>
      <c r="O48" t="s">
        <v>108</v>
      </c>
      <c r="P48" t="s">
        <v>104</v>
      </c>
      <c r="R48" t="s">
        <v>202</v>
      </c>
      <c r="T48" t="s">
        <v>213</v>
      </c>
      <c r="U48" t="s">
        <v>213</v>
      </c>
      <c r="V48" t="s">
        <v>100</v>
      </c>
      <c r="W48" t="s">
        <v>142</v>
      </c>
      <c r="X48" t="s">
        <v>143</v>
      </c>
      <c r="Y48" t="s">
        <v>95</v>
      </c>
      <c r="Z48">
        <v>15</v>
      </c>
      <c r="AA48" t="s">
        <v>89</v>
      </c>
      <c r="AB48" t="s">
        <v>89</v>
      </c>
      <c r="AC48" t="s">
        <v>90</v>
      </c>
      <c r="AD48" t="s">
        <v>105</v>
      </c>
      <c r="AE48">
        <v>27</v>
      </c>
      <c r="AF48">
        <v>405</v>
      </c>
      <c r="AG48">
        <v>10</v>
      </c>
      <c r="AK48" t="s">
        <v>115</v>
      </c>
      <c r="AM48" t="s">
        <v>96</v>
      </c>
      <c r="AN48" t="s">
        <v>93</v>
      </c>
      <c r="AO48" t="s">
        <v>129</v>
      </c>
      <c r="AV48" t="s">
        <v>205</v>
      </c>
      <c r="AW48" t="s">
        <v>206</v>
      </c>
      <c r="AY48" t="s">
        <v>130</v>
      </c>
      <c r="AZ48" s="1">
        <v>46171</v>
      </c>
      <c r="BA48" t="s">
        <v>145</v>
      </c>
      <c r="BB48">
        <v>445</v>
      </c>
      <c r="BF48" t="s">
        <v>100</v>
      </c>
      <c r="BG48">
        <v>119</v>
      </c>
      <c r="BH48" t="s">
        <v>207</v>
      </c>
      <c r="BJ48" t="s">
        <v>94</v>
      </c>
      <c r="BK48" t="s">
        <v>202</v>
      </c>
      <c r="BL48" t="s">
        <v>100</v>
      </c>
      <c r="BP48" t="s">
        <v>147</v>
      </c>
      <c r="BQ48">
        <v>475</v>
      </c>
      <c r="BR48" t="s">
        <v>126</v>
      </c>
      <c r="BS48" t="s">
        <v>127</v>
      </c>
      <c r="BT48" t="s">
        <v>208</v>
      </c>
      <c r="BU48" t="s">
        <v>131</v>
      </c>
      <c r="BV48" t="s">
        <v>209</v>
      </c>
      <c r="BW48" t="s">
        <v>209</v>
      </c>
      <c r="BX48">
        <v>46167</v>
      </c>
      <c r="BZ48" t="s">
        <v>94</v>
      </c>
      <c r="CA48">
        <v>46164</v>
      </c>
      <c r="CB48" s="2">
        <v>46171</v>
      </c>
      <c r="CC48" s="2">
        <v>46177</v>
      </c>
      <c r="CD48">
        <f>+VLOOKUP(C48,[1]Sheet1!$A$1:$AC$452,18,FALSE)</f>
        <v>1975</v>
      </c>
    </row>
    <row r="49" spans="1:82" x14ac:dyDescent="0.3">
      <c r="A49" t="s">
        <v>86</v>
      </c>
      <c r="B49">
        <v>20423</v>
      </c>
      <c r="C49">
        <v>445</v>
      </c>
      <c r="D49" s="1">
        <v>46167</v>
      </c>
      <c r="E49">
        <v>22</v>
      </c>
      <c r="F49">
        <v>5</v>
      </c>
      <c r="G49" s="1">
        <v>46177</v>
      </c>
      <c r="H49" t="s">
        <v>87</v>
      </c>
      <c r="I49" t="s">
        <v>88</v>
      </c>
      <c r="J49" t="s">
        <v>132</v>
      </c>
      <c r="K49">
        <v>55</v>
      </c>
      <c r="L49" t="s">
        <v>133</v>
      </c>
      <c r="M49">
        <v>342</v>
      </c>
      <c r="N49" t="s">
        <v>91</v>
      </c>
      <c r="O49" t="s">
        <v>108</v>
      </c>
      <c r="P49" t="s">
        <v>104</v>
      </c>
      <c r="R49" t="s">
        <v>202</v>
      </c>
      <c r="T49" t="s">
        <v>213</v>
      </c>
      <c r="U49" t="s">
        <v>213</v>
      </c>
      <c r="V49" t="s">
        <v>100</v>
      </c>
      <c r="W49" t="s">
        <v>142</v>
      </c>
      <c r="X49" t="s">
        <v>143</v>
      </c>
      <c r="Y49" t="s">
        <v>95</v>
      </c>
      <c r="Z49">
        <v>15</v>
      </c>
      <c r="AA49" t="s">
        <v>89</v>
      </c>
      <c r="AB49" t="s">
        <v>89</v>
      </c>
      <c r="AC49" t="s">
        <v>90</v>
      </c>
      <c r="AD49" t="s">
        <v>105</v>
      </c>
      <c r="AE49">
        <v>53</v>
      </c>
      <c r="AF49">
        <v>795</v>
      </c>
      <c r="AG49">
        <v>10</v>
      </c>
      <c r="AK49" t="s">
        <v>115</v>
      </c>
      <c r="AM49" t="s">
        <v>96</v>
      </c>
      <c r="AN49" t="s">
        <v>93</v>
      </c>
      <c r="AO49" t="s">
        <v>129</v>
      </c>
      <c r="AV49" t="s">
        <v>205</v>
      </c>
      <c r="AW49" t="s">
        <v>206</v>
      </c>
      <c r="AY49" t="s">
        <v>130</v>
      </c>
      <c r="AZ49" s="1">
        <v>46171</v>
      </c>
      <c r="BA49" t="s">
        <v>145</v>
      </c>
      <c r="BB49">
        <v>445</v>
      </c>
      <c r="BF49" t="s">
        <v>100</v>
      </c>
      <c r="BG49">
        <v>119</v>
      </c>
      <c r="BH49" t="s">
        <v>207</v>
      </c>
      <c r="BJ49" t="s">
        <v>94</v>
      </c>
      <c r="BK49" t="s">
        <v>202</v>
      </c>
      <c r="BL49" t="s">
        <v>100</v>
      </c>
      <c r="BP49" t="s">
        <v>147</v>
      </c>
      <c r="BQ49">
        <v>475</v>
      </c>
      <c r="BR49" t="s">
        <v>126</v>
      </c>
      <c r="BS49" t="s">
        <v>127</v>
      </c>
      <c r="BT49" t="s">
        <v>208</v>
      </c>
      <c r="BU49" t="s">
        <v>131</v>
      </c>
      <c r="BV49" t="s">
        <v>209</v>
      </c>
      <c r="BW49" t="s">
        <v>209</v>
      </c>
      <c r="BX49">
        <v>46167</v>
      </c>
      <c r="BZ49" t="s">
        <v>94</v>
      </c>
      <c r="CA49">
        <v>46164</v>
      </c>
      <c r="CB49" s="2">
        <v>46171</v>
      </c>
      <c r="CC49" s="2">
        <v>46177</v>
      </c>
      <c r="CD49">
        <f>+VLOOKUP(C49,[1]Sheet1!$A$1:$AC$452,18,FALSE)</f>
        <v>1975</v>
      </c>
    </row>
    <row r="50" spans="1:82" x14ac:dyDescent="0.3">
      <c r="A50" t="s">
        <v>86</v>
      </c>
      <c r="B50">
        <v>20424</v>
      </c>
      <c r="C50">
        <v>445</v>
      </c>
      <c r="D50" s="1">
        <v>46167</v>
      </c>
      <c r="E50">
        <v>22</v>
      </c>
      <c r="F50">
        <v>5</v>
      </c>
      <c r="G50" s="1">
        <v>46177</v>
      </c>
      <c r="H50" t="s">
        <v>87</v>
      </c>
      <c r="I50" t="s">
        <v>88</v>
      </c>
      <c r="J50" t="s">
        <v>132</v>
      </c>
      <c r="K50">
        <v>55</v>
      </c>
      <c r="L50" t="s">
        <v>133</v>
      </c>
      <c r="M50">
        <v>342</v>
      </c>
      <c r="N50" t="s">
        <v>91</v>
      </c>
      <c r="O50" t="s">
        <v>108</v>
      </c>
      <c r="P50" t="s">
        <v>104</v>
      </c>
      <c r="R50" t="s">
        <v>202</v>
      </c>
      <c r="T50" t="s">
        <v>214</v>
      </c>
      <c r="U50" t="s">
        <v>214</v>
      </c>
      <c r="V50" t="s">
        <v>100</v>
      </c>
      <c r="W50" t="s">
        <v>142</v>
      </c>
      <c r="X50" t="s">
        <v>143</v>
      </c>
      <c r="Y50" t="s">
        <v>95</v>
      </c>
      <c r="Z50">
        <v>15</v>
      </c>
      <c r="AA50" t="s">
        <v>89</v>
      </c>
      <c r="AB50" t="s">
        <v>89</v>
      </c>
      <c r="AC50" t="s">
        <v>90</v>
      </c>
      <c r="AD50" t="s">
        <v>107</v>
      </c>
      <c r="AE50">
        <v>72</v>
      </c>
      <c r="AF50">
        <v>1080</v>
      </c>
      <c r="AG50">
        <v>10</v>
      </c>
      <c r="AK50" t="s">
        <v>115</v>
      </c>
      <c r="AM50" t="s">
        <v>96</v>
      </c>
      <c r="AN50" t="s">
        <v>93</v>
      </c>
      <c r="AO50" t="s">
        <v>129</v>
      </c>
      <c r="AV50" t="s">
        <v>205</v>
      </c>
      <c r="AW50" t="s">
        <v>206</v>
      </c>
      <c r="AY50" t="s">
        <v>130</v>
      </c>
      <c r="AZ50" s="1">
        <v>46171</v>
      </c>
      <c r="BA50" t="s">
        <v>145</v>
      </c>
      <c r="BB50">
        <v>445</v>
      </c>
      <c r="BF50" t="s">
        <v>100</v>
      </c>
      <c r="BG50">
        <v>119</v>
      </c>
      <c r="BH50" t="s">
        <v>207</v>
      </c>
      <c r="BJ50" t="s">
        <v>94</v>
      </c>
      <c r="BK50" t="s">
        <v>202</v>
      </c>
      <c r="BL50" t="s">
        <v>100</v>
      </c>
      <c r="BP50" t="s">
        <v>147</v>
      </c>
      <c r="BQ50">
        <v>475</v>
      </c>
      <c r="BR50" t="s">
        <v>126</v>
      </c>
      <c r="BS50" t="s">
        <v>127</v>
      </c>
      <c r="BT50" t="s">
        <v>208</v>
      </c>
      <c r="BU50" t="s">
        <v>131</v>
      </c>
      <c r="BV50" t="s">
        <v>209</v>
      </c>
      <c r="BW50" t="s">
        <v>209</v>
      </c>
      <c r="BX50">
        <v>46167</v>
      </c>
      <c r="BZ50" t="s">
        <v>94</v>
      </c>
      <c r="CA50">
        <v>46164</v>
      </c>
      <c r="CB50" s="2">
        <v>46171</v>
      </c>
      <c r="CC50" s="2">
        <v>46177</v>
      </c>
      <c r="CD50">
        <f>+VLOOKUP(C50,[1]Sheet1!$A$1:$AC$452,18,FALSE)</f>
        <v>1975</v>
      </c>
    </row>
    <row r="51" spans="1:82" x14ac:dyDescent="0.3">
      <c r="A51" t="s">
        <v>86</v>
      </c>
      <c r="B51">
        <v>20425</v>
      </c>
      <c r="C51">
        <v>445</v>
      </c>
      <c r="D51" s="1">
        <v>46167</v>
      </c>
      <c r="E51">
        <v>22</v>
      </c>
      <c r="F51">
        <v>5</v>
      </c>
      <c r="G51" s="1">
        <v>46177</v>
      </c>
      <c r="H51" t="s">
        <v>87</v>
      </c>
      <c r="I51" t="s">
        <v>88</v>
      </c>
      <c r="J51" t="s">
        <v>132</v>
      </c>
      <c r="K51">
        <v>55</v>
      </c>
      <c r="L51" t="s">
        <v>133</v>
      </c>
      <c r="M51">
        <v>342</v>
      </c>
      <c r="N51" t="s">
        <v>91</v>
      </c>
      <c r="O51" t="s">
        <v>108</v>
      </c>
      <c r="P51" t="s">
        <v>104</v>
      </c>
      <c r="R51" t="s">
        <v>202</v>
      </c>
      <c r="T51" t="s">
        <v>214</v>
      </c>
      <c r="U51" t="s">
        <v>214</v>
      </c>
      <c r="V51" t="s">
        <v>100</v>
      </c>
      <c r="W51" t="s">
        <v>142</v>
      </c>
      <c r="X51" t="s">
        <v>143</v>
      </c>
      <c r="Y51" t="s">
        <v>95</v>
      </c>
      <c r="Z51">
        <v>15</v>
      </c>
      <c r="AA51" t="s">
        <v>89</v>
      </c>
      <c r="AB51" t="s">
        <v>89</v>
      </c>
      <c r="AC51" t="s">
        <v>90</v>
      </c>
      <c r="AD51" t="s">
        <v>107</v>
      </c>
      <c r="AE51">
        <v>8</v>
      </c>
      <c r="AF51">
        <v>120</v>
      </c>
      <c r="AG51">
        <v>10</v>
      </c>
      <c r="AK51" t="s">
        <v>115</v>
      </c>
      <c r="AM51" t="s">
        <v>96</v>
      </c>
      <c r="AN51" t="s">
        <v>93</v>
      </c>
      <c r="AO51" t="s">
        <v>129</v>
      </c>
      <c r="AV51" t="s">
        <v>205</v>
      </c>
      <c r="AW51" t="s">
        <v>206</v>
      </c>
      <c r="AY51" t="s">
        <v>130</v>
      </c>
      <c r="AZ51" s="1">
        <v>46171</v>
      </c>
      <c r="BA51" t="s">
        <v>145</v>
      </c>
      <c r="BB51">
        <v>445</v>
      </c>
      <c r="BF51" t="s">
        <v>100</v>
      </c>
      <c r="BG51">
        <v>119</v>
      </c>
      <c r="BH51" t="s">
        <v>207</v>
      </c>
      <c r="BJ51" t="s">
        <v>94</v>
      </c>
      <c r="BK51" t="s">
        <v>202</v>
      </c>
      <c r="BL51" t="s">
        <v>100</v>
      </c>
      <c r="BP51" t="s">
        <v>147</v>
      </c>
      <c r="BQ51">
        <v>475</v>
      </c>
      <c r="BR51" t="s">
        <v>126</v>
      </c>
      <c r="BS51" t="s">
        <v>127</v>
      </c>
      <c r="BT51" t="s">
        <v>208</v>
      </c>
      <c r="BU51" t="s">
        <v>131</v>
      </c>
      <c r="BV51" t="s">
        <v>209</v>
      </c>
      <c r="BW51" t="s">
        <v>209</v>
      </c>
      <c r="BX51">
        <v>46167</v>
      </c>
      <c r="BZ51" t="s">
        <v>94</v>
      </c>
      <c r="CA51">
        <v>46164</v>
      </c>
      <c r="CB51" s="2">
        <v>46171</v>
      </c>
      <c r="CC51" s="2">
        <v>46177</v>
      </c>
      <c r="CD51">
        <f>+VLOOKUP(C51,[1]Sheet1!$A$1:$AC$452,18,FALSE)</f>
        <v>1975</v>
      </c>
    </row>
    <row r="52" spans="1:82" x14ac:dyDescent="0.3">
      <c r="A52" t="s">
        <v>86</v>
      </c>
      <c r="B52">
        <v>20426</v>
      </c>
      <c r="C52">
        <v>445</v>
      </c>
      <c r="D52" s="1">
        <v>46167</v>
      </c>
      <c r="E52">
        <v>22</v>
      </c>
      <c r="F52">
        <v>5</v>
      </c>
      <c r="G52" s="1">
        <v>46177</v>
      </c>
      <c r="H52" t="s">
        <v>87</v>
      </c>
      <c r="I52" t="s">
        <v>88</v>
      </c>
      <c r="J52" t="s">
        <v>132</v>
      </c>
      <c r="K52">
        <v>55</v>
      </c>
      <c r="L52" t="s">
        <v>133</v>
      </c>
      <c r="M52">
        <v>342</v>
      </c>
      <c r="N52" t="s">
        <v>91</v>
      </c>
      <c r="O52" t="s">
        <v>108</v>
      </c>
      <c r="P52" t="s">
        <v>104</v>
      </c>
      <c r="R52" t="s">
        <v>202</v>
      </c>
      <c r="T52" t="s">
        <v>215</v>
      </c>
      <c r="U52" t="s">
        <v>215</v>
      </c>
      <c r="V52" t="s">
        <v>100</v>
      </c>
      <c r="W52" t="s">
        <v>142</v>
      </c>
      <c r="X52" t="s">
        <v>143</v>
      </c>
      <c r="Y52" t="s">
        <v>95</v>
      </c>
      <c r="Z52">
        <v>15</v>
      </c>
      <c r="AA52" t="s">
        <v>89</v>
      </c>
      <c r="AB52" t="s">
        <v>89</v>
      </c>
      <c r="AC52" t="s">
        <v>90</v>
      </c>
      <c r="AD52" t="s">
        <v>111</v>
      </c>
      <c r="AE52">
        <v>17</v>
      </c>
      <c r="AF52">
        <v>255</v>
      </c>
      <c r="AG52">
        <v>10</v>
      </c>
      <c r="AK52" t="s">
        <v>115</v>
      </c>
      <c r="AM52" t="s">
        <v>96</v>
      </c>
      <c r="AN52" t="s">
        <v>93</v>
      </c>
      <c r="AO52" t="s">
        <v>129</v>
      </c>
      <c r="AV52" t="s">
        <v>205</v>
      </c>
      <c r="AW52" t="s">
        <v>206</v>
      </c>
      <c r="AY52" t="s">
        <v>130</v>
      </c>
      <c r="AZ52" s="1">
        <v>46171</v>
      </c>
      <c r="BA52" t="s">
        <v>145</v>
      </c>
      <c r="BB52">
        <v>445</v>
      </c>
      <c r="BF52" t="s">
        <v>100</v>
      </c>
      <c r="BG52">
        <v>119</v>
      </c>
      <c r="BH52" t="s">
        <v>207</v>
      </c>
      <c r="BJ52" t="s">
        <v>94</v>
      </c>
      <c r="BK52" t="s">
        <v>202</v>
      </c>
      <c r="BL52" t="s">
        <v>100</v>
      </c>
      <c r="BP52" t="s">
        <v>147</v>
      </c>
      <c r="BQ52">
        <v>475</v>
      </c>
      <c r="BR52" t="s">
        <v>126</v>
      </c>
      <c r="BS52" t="s">
        <v>127</v>
      </c>
      <c r="BT52" t="s">
        <v>208</v>
      </c>
      <c r="BU52" t="s">
        <v>131</v>
      </c>
      <c r="BV52" t="s">
        <v>209</v>
      </c>
      <c r="BW52" t="s">
        <v>209</v>
      </c>
      <c r="BX52">
        <v>46167</v>
      </c>
      <c r="BZ52" t="s">
        <v>94</v>
      </c>
      <c r="CA52">
        <v>46164</v>
      </c>
      <c r="CB52" s="2">
        <v>46171</v>
      </c>
      <c r="CC52" s="2">
        <v>46177</v>
      </c>
      <c r="CD52">
        <f>+VLOOKUP(C52,[1]Sheet1!$A$1:$AC$452,18,FALSE)</f>
        <v>1975</v>
      </c>
    </row>
    <row r="53" spans="1:82" x14ac:dyDescent="0.3">
      <c r="A53" t="s">
        <v>86</v>
      </c>
      <c r="B53">
        <v>20427</v>
      </c>
      <c r="C53">
        <v>445</v>
      </c>
      <c r="D53" s="1">
        <v>46167</v>
      </c>
      <c r="E53">
        <v>22</v>
      </c>
      <c r="F53">
        <v>5</v>
      </c>
      <c r="G53" s="1">
        <v>46177</v>
      </c>
      <c r="H53" t="s">
        <v>87</v>
      </c>
      <c r="I53" t="s">
        <v>88</v>
      </c>
      <c r="J53" t="s">
        <v>132</v>
      </c>
      <c r="K53">
        <v>55</v>
      </c>
      <c r="L53" t="s">
        <v>133</v>
      </c>
      <c r="M53">
        <v>342</v>
      </c>
      <c r="N53" t="s">
        <v>91</v>
      </c>
      <c r="O53" t="s">
        <v>108</v>
      </c>
      <c r="P53" t="s">
        <v>104</v>
      </c>
      <c r="R53" t="s">
        <v>202</v>
      </c>
      <c r="T53" t="s">
        <v>215</v>
      </c>
      <c r="U53" t="s">
        <v>215</v>
      </c>
      <c r="V53" t="s">
        <v>100</v>
      </c>
      <c r="W53" t="s">
        <v>142</v>
      </c>
      <c r="X53" t="s">
        <v>143</v>
      </c>
      <c r="Y53" t="s">
        <v>95</v>
      </c>
      <c r="Z53">
        <v>15</v>
      </c>
      <c r="AA53" t="s">
        <v>89</v>
      </c>
      <c r="AB53" t="s">
        <v>89</v>
      </c>
      <c r="AC53" t="s">
        <v>90</v>
      </c>
      <c r="AD53" t="s">
        <v>111</v>
      </c>
      <c r="AE53">
        <v>63</v>
      </c>
      <c r="AF53">
        <v>945</v>
      </c>
      <c r="AG53">
        <v>10</v>
      </c>
      <c r="AK53" t="s">
        <v>115</v>
      </c>
      <c r="AM53" t="s">
        <v>96</v>
      </c>
      <c r="AN53" t="s">
        <v>93</v>
      </c>
      <c r="AO53" t="s">
        <v>129</v>
      </c>
      <c r="AV53" t="s">
        <v>205</v>
      </c>
      <c r="AW53" t="s">
        <v>206</v>
      </c>
      <c r="AY53" t="s">
        <v>130</v>
      </c>
      <c r="AZ53" s="1">
        <v>46171</v>
      </c>
      <c r="BA53" t="s">
        <v>145</v>
      </c>
      <c r="BB53">
        <v>445</v>
      </c>
      <c r="BF53" t="s">
        <v>100</v>
      </c>
      <c r="BG53">
        <v>119</v>
      </c>
      <c r="BH53" t="s">
        <v>207</v>
      </c>
      <c r="BJ53" t="s">
        <v>94</v>
      </c>
      <c r="BK53" t="s">
        <v>202</v>
      </c>
      <c r="BL53" t="s">
        <v>100</v>
      </c>
      <c r="BP53" t="s">
        <v>147</v>
      </c>
      <c r="BQ53">
        <v>475</v>
      </c>
      <c r="BR53" t="s">
        <v>126</v>
      </c>
      <c r="BS53" t="s">
        <v>127</v>
      </c>
      <c r="BT53" t="s">
        <v>208</v>
      </c>
      <c r="BU53" t="s">
        <v>131</v>
      </c>
      <c r="BV53" t="s">
        <v>209</v>
      </c>
      <c r="BW53" t="s">
        <v>209</v>
      </c>
      <c r="BX53">
        <v>46167</v>
      </c>
      <c r="BZ53" t="s">
        <v>94</v>
      </c>
      <c r="CA53">
        <v>46164</v>
      </c>
      <c r="CB53" s="2">
        <v>46171</v>
      </c>
      <c r="CC53" s="2">
        <v>46177</v>
      </c>
      <c r="CD53">
        <f>+VLOOKUP(C53,[1]Sheet1!$A$1:$AC$452,18,FALSE)</f>
        <v>1975</v>
      </c>
    </row>
    <row r="54" spans="1:82" x14ac:dyDescent="0.3">
      <c r="A54" t="s">
        <v>86</v>
      </c>
      <c r="B54">
        <v>20428</v>
      </c>
      <c r="C54">
        <v>445</v>
      </c>
      <c r="D54" s="1">
        <v>46167</v>
      </c>
      <c r="E54">
        <v>22</v>
      </c>
      <c r="F54">
        <v>5</v>
      </c>
      <c r="G54" s="1">
        <v>46177</v>
      </c>
      <c r="H54" t="s">
        <v>87</v>
      </c>
      <c r="I54" t="s">
        <v>88</v>
      </c>
      <c r="J54" t="s">
        <v>132</v>
      </c>
      <c r="K54">
        <v>55</v>
      </c>
      <c r="L54" t="s">
        <v>133</v>
      </c>
      <c r="M54">
        <v>342</v>
      </c>
      <c r="N54" t="s">
        <v>91</v>
      </c>
      <c r="O54" t="s">
        <v>108</v>
      </c>
      <c r="P54" t="s">
        <v>104</v>
      </c>
      <c r="R54" t="s">
        <v>202</v>
      </c>
      <c r="T54" t="s">
        <v>216</v>
      </c>
      <c r="U54" t="s">
        <v>216</v>
      </c>
      <c r="V54" t="s">
        <v>100</v>
      </c>
      <c r="W54" t="s">
        <v>142</v>
      </c>
      <c r="X54" t="s">
        <v>143</v>
      </c>
      <c r="Y54" t="s">
        <v>95</v>
      </c>
      <c r="Z54">
        <v>15</v>
      </c>
      <c r="AA54" t="s">
        <v>89</v>
      </c>
      <c r="AB54" t="s">
        <v>89</v>
      </c>
      <c r="AC54" t="s">
        <v>90</v>
      </c>
      <c r="AD54" t="s">
        <v>117</v>
      </c>
      <c r="AE54">
        <v>18</v>
      </c>
      <c r="AF54">
        <v>270</v>
      </c>
      <c r="AG54">
        <v>10</v>
      </c>
      <c r="AK54" t="s">
        <v>115</v>
      </c>
      <c r="AM54" t="s">
        <v>96</v>
      </c>
      <c r="AN54" t="s">
        <v>93</v>
      </c>
      <c r="AO54" t="s">
        <v>129</v>
      </c>
      <c r="AV54" t="s">
        <v>205</v>
      </c>
      <c r="AW54" t="s">
        <v>206</v>
      </c>
      <c r="AY54" t="s">
        <v>130</v>
      </c>
      <c r="AZ54" s="1">
        <v>46171</v>
      </c>
      <c r="BA54" t="s">
        <v>145</v>
      </c>
      <c r="BB54">
        <v>445</v>
      </c>
      <c r="BF54" t="s">
        <v>100</v>
      </c>
      <c r="BG54">
        <v>119</v>
      </c>
      <c r="BH54" t="s">
        <v>207</v>
      </c>
      <c r="BJ54" t="s">
        <v>94</v>
      </c>
      <c r="BK54" t="s">
        <v>202</v>
      </c>
      <c r="BL54" t="s">
        <v>100</v>
      </c>
      <c r="BP54" t="s">
        <v>147</v>
      </c>
      <c r="BQ54">
        <v>475</v>
      </c>
      <c r="BR54" t="s">
        <v>126</v>
      </c>
      <c r="BS54" t="s">
        <v>127</v>
      </c>
      <c r="BT54" t="s">
        <v>208</v>
      </c>
      <c r="BU54" t="s">
        <v>131</v>
      </c>
      <c r="BV54" t="s">
        <v>209</v>
      </c>
      <c r="BW54" t="s">
        <v>209</v>
      </c>
      <c r="BX54">
        <v>46167</v>
      </c>
      <c r="BZ54" t="s">
        <v>94</v>
      </c>
      <c r="CA54">
        <v>46164</v>
      </c>
      <c r="CB54" s="2">
        <v>46171</v>
      </c>
      <c r="CC54" s="2">
        <v>46177</v>
      </c>
      <c r="CD54">
        <f>+VLOOKUP(C54,[1]Sheet1!$A$1:$AC$452,18,FALSE)</f>
        <v>1975</v>
      </c>
    </row>
    <row r="55" spans="1:82" x14ac:dyDescent="0.3">
      <c r="A55" t="s">
        <v>86</v>
      </c>
      <c r="B55">
        <v>20429</v>
      </c>
      <c r="C55">
        <v>445</v>
      </c>
      <c r="D55" s="1">
        <v>46167</v>
      </c>
      <c r="E55">
        <v>22</v>
      </c>
      <c r="F55">
        <v>5</v>
      </c>
      <c r="G55" s="1">
        <v>46177</v>
      </c>
      <c r="H55" t="s">
        <v>87</v>
      </c>
      <c r="I55" t="s">
        <v>88</v>
      </c>
      <c r="J55" t="s">
        <v>132</v>
      </c>
      <c r="K55">
        <v>55</v>
      </c>
      <c r="L55" t="s">
        <v>133</v>
      </c>
      <c r="M55">
        <v>342</v>
      </c>
      <c r="N55" t="s">
        <v>91</v>
      </c>
      <c r="O55" t="s">
        <v>108</v>
      </c>
      <c r="P55" t="s">
        <v>104</v>
      </c>
      <c r="R55" t="s">
        <v>202</v>
      </c>
      <c r="T55" t="s">
        <v>216</v>
      </c>
      <c r="U55" t="s">
        <v>216</v>
      </c>
      <c r="V55" t="s">
        <v>100</v>
      </c>
      <c r="W55" t="s">
        <v>142</v>
      </c>
      <c r="X55" t="s">
        <v>143</v>
      </c>
      <c r="Y55" t="s">
        <v>95</v>
      </c>
      <c r="Z55">
        <v>15</v>
      </c>
      <c r="AA55" t="s">
        <v>89</v>
      </c>
      <c r="AB55" t="s">
        <v>89</v>
      </c>
      <c r="AC55" t="s">
        <v>90</v>
      </c>
      <c r="AD55" t="s">
        <v>117</v>
      </c>
      <c r="AE55">
        <v>62</v>
      </c>
      <c r="AF55">
        <v>930</v>
      </c>
      <c r="AG55">
        <v>10</v>
      </c>
      <c r="AK55" t="s">
        <v>115</v>
      </c>
      <c r="AM55" t="s">
        <v>96</v>
      </c>
      <c r="AN55" t="s">
        <v>93</v>
      </c>
      <c r="AO55" t="s">
        <v>129</v>
      </c>
      <c r="AV55" t="s">
        <v>205</v>
      </c>
      <c r="AW55" t="s">
        <v>206</v>
      </c>
      <c r="AY55" t="s">
        <v>130</v>
      </c>
      <c r="AZ55" s="1">
        <v>46171</v>
      </c>
      <c r="BA55" t="s">
        <v>145</v>
      </c>
      <c r="BB55">
        <v>445</v>
      </c>
      <c r="BF55" t="s">
        <v>100</v>
      </c>
      <c r="BG55">
        <v>119</v>
      </c>
      <c r="BH55" t="s">
        <v>207</v>
      </c>
      <c r="BJ55" t="s">
        <v>94</v>
      </c>
      <c r="BK55" t="s">
        <v>202</v>
      </c>
      <c r="BL55" t="s">
        <v>100</v>
      </c>
      <c r="BP55" t="s">
        <v>147</v>
      </c>
      <c r="BQ55">
        <v>475</v>
      </c>
      <c r="BR55" t="s">
        <v>126</v>
      </c>
      <c r="BS55" t="s">
        <v>127</v>
      </c>
      <c r="BT55" t="s">
        <v>208</v>
      </c>
      <c r="BU55" t="s">
        <v>131</v>
      </c>
      <c r="BV55" t="s">
        <v>209</v>
      </c>
      <c r="BW55" t="s">
        <v>209</v>
      </c>
      <c r="BX55">
        <v>46167</v>
      </c>
      <c r="BZ55" t="s">
        <v>94</v>
      </c>
      <c r="CA55">
        <v>46164</v>
      </c>
      <c r="CB55" s="2">
        <v>46171</v>
      </c>
      <c r="CC55" s="2">
        <v>46177</v>
      </c>
      <c r="CD55">
        <f>+VLOOKUP(C55,[1]Sheet1!$A$1:$AC$452,18,FALSE)</f>
        <v>1975</v>
      </c>
    </row>
    <row r="56" spans="1:82" x14ac:dyDescent="0.3">
      <c r="A56" t="s">
        <v>86</v>
      </c>
      <c r="B56">
        <v>20430</v>
      </c>
      <c r="C56">
        <v>445</v>
      </c>
      <c r="D56" s="1">
        <v>46167</v>
      </c>
      <c r="E56">
        <v>22</v>
      </c>
      <c r="F56">
        <v>5</v>
      </c>
      <c r="G56" s="1">
        <v>46177</v>
      </c>
      <c r="H56" t="s">
        <v>87</v>
      </c>
      <c r="I56" t="s">
        <v>88</v>
      </c>
      <c r="J56" t="s">
        <v>132</v>
      </c>
      <c r="K56">
        <v>55</v>
      </c>
      <c r="L56" t="s">
        <v>133</v>
      </c>
      <c r="M56">
        <v>342</v>
      </c>
      <c r="N56" t="s">
        <v>91</v>
      </c>
      <c r="O56" t="s">
        <v>108</v>
      </c>
      <c r="P56" t="s">
        <v>104</v>
      </c>
      <c r="R56" t="s">
        <v>202</v>
      </c>
      <c r="T56" t="s">
        <v>217</v>
      </c>
      <c r="U56" t="s">
        <v>217</v>
      </c>
      <c r="V56" t="s">
        <v>100</v>
      </c>
      <c r="W56" t="s">
        <v>142</v>
      </c>
      <c r="X56" t="s">
        <v>143</v>
      </c>
      <c r="Y56" t="s">
        <v>95</v>
      </c>
      <c r="Z56">
        <v>15</v>
      </c>
      <c r="AA56" t="s">
        <v>89</v>
      </c>
      <c r="AB56" t="s">
        <v>89</v>
      </c>
      <c r="AC56" t="s">
        <v>90</v>
      </c>
      <c r="AD56" t="s">
        <v>117</v>
      </c>
      <c r="AE56">
        <v>80</v>
      </c>
      <c r="AF56">
        <v>1200</v>
      </c>
      <c r="AG56">
        <v>10</v>
      </c>
      <c r="AK56" t="s">
        <v>115</v>
      </c>
      <c r="AM56" t="s">
        <v>96</v>
      </c>
      <c r="AN56" t="s">
        <v>93</v>
      </c>
      <c r="AO56" t="s">
        <v>129</v>
      </c>
      <c r="AV56" t="s">
        <v>205</v>
      </c>
      <c r="AW56" t="s">
        <v>206</v>
      </c>
      <c r="AY56" t="s">
        <v>130</v>
      </c>
      <c r="AZ56" s="1">
        <v>46171</v>
      </c>
      <c r="BA56" t="s">
        <v>145</v>
      </c>
      <c r="BB56">
        <v>445</v>
      </c>
      <c r="BF56" t="s">
        <v>100</v>
      </c>
      <c r="BG56">
        <v>119</v>
      </c>
      <c r="BH56" t="s">
        <v>207</v>
      </c>
      <c r="BJ56" t="s">
        <v>94</v>
      </c>
      <c r="BK56" t="s">
        <v>202</v>
      </c>
      <c r="BL56" t="s">
        <v>100</v>
      </c>
      <c r="BP56" t="s">
        <v>147</v>
      </c>
      <c r="BQ56">
        <v>475</v>
      </c>
      <c r="BR56" t="s">
        <v>126</v>
      </c>
      <c r="BS56" t="s">
        <v>127</v>
      </c>
      <c r="BT56" t="s">
        <v>208</v>
      </c>
      <c r="BU56" t="s">
        <v>131</v>
      </c>
      <c r="BV56" t="s">
        <v>209</v>
      </c>
      <c r="BW56" t="s">
        <v>209</v>
      </c>
      <c r="BX56">
        <v>46167</v>
      </c>
      <c r="BZ56" t="s">
        <v>94</v>
      </c>
      <c r="CA56">
        <v>46164</v>
      </c>
      <c r="CB56" s="2">
        <v>46171</v>
      </c>
      <c r="CC56" s="2">
        <v>46177</v>
      </c>
      <c r="CD56">
        <f>+VLOOKUP(C56,[1]Sheet1!$A$1:$AC$452,18,FALSE)</f>
        <v>1975</v>
      </c>
    </row>
    <row r="57" spans="1:82" x14ac:dyDescent="0.3">
      <c r="A57" t="s">
        <v>86</v>
      </c>
      <c r="B57">
        <v>20431</v>
      </c>
      <c r="C57">
        <v>445</v>
      </c>
      <c r="D57" s="1">
        <v>46167</v>
      </c>
      <c r="E57">
        <v>22</v>
      </c>
      <c r="F57">
        <v>5</v>
      </c>
      <c r="G57" s="1">
        <v>46177</v>
      </c>
      <c r="H57" t="s">
        <v>87</v>
      </c>
      <c r="I57" t="s">
        <v>88</v>
      </c>
      <c r="J57" t="s">
        <v>132</v>
      </c>
      <c r="K57">
        <v>55</v>
      </c>
      <c r="L57" t="s">
        <v>133</v>
      </c>
      <c r="M57">
        <v>342</v>
      </c>
      <c r="N57" t="s">
        <v>91</v>
      </c>
      <c r="O57" t="s">
        <v>108</v>
      </c>
      <c r="P57" t="s">
        <v>104</v>
      </c>
      <c r="R57" t="s">
        <v>202</v>
      </c>
      <c r="T57" t="s">
        <v>218</v>
      </c>
      <c r="U57" t="s">
        <v>218</v>
      </c>
      <c r="V57" t="s">
        <v>100</v>
      </c>
      <c r="W57" t="s">
        <v>142</v>
      </c>
      <c r="X57" t="s">
        <v>143</v>
      </c>
      <c r="Y57" t="s">
        <v>95</v>
      </c>
      <c r="Z57">
        <v>15</v>
      </c>
      <c r="AA57" t="s">
        <v>89</v>
      </c>
      <c r="AB57" t="s">
        <v>89</v>
      </c>
      <c r="AC57" t="s">
        <v>90</v>
      </c>
      <c r="AD57" t="s">
        <v>111</v>
      </c>
      <c r="AE57">
        <v>80</v>
      </c>
      <c r="AF57">
        <v>1200</v>
      </c>
      <c r="AG57">
        <v>10</v>
      </c>
      <c r="AK57" t="s">
        <v>115</v>
      </c>
      <c r="AM57" t="s">
        <v>96</v>
      </c>
      <c r="AN57" t="s">
        <v>93</v>
      </c>
      <c r="AO57" t="s">
        <v>129</v>
      </c>
      <c r="AV57" t="s">
        <v>205</v>
      </c>
      <c r="AW57" t="s">
        <v>206</v>
      </c>
      <c r="AY57" t="s">
        <v>130</v>
      </c>
      <c r="AZ57" s="1">
        <v>46171</v>
      </c>
      <c r="BA57" t="s">
        <v>145</v>
      </c>
      <c r="BB57">
        <v>445</v>
      </c>
      <c r="BF57" t="s">
        <v>100</v>
      </c>
      <c r="BG57">
        <v>119</v>
      </c>
      <c r="BH57" t="s">
        <v>207</v>
      </c>
      <c r="BJ57" t="s">
        <v>94</v>
      </c>
      <c r="BK57" t="s">
        <v>202</v>
      </c>
      <c r="BL57" t="s">
        <v>100</v>
      </c>
      <c r="BP57" t="s">
        <v>147</v>
      </c>
      <c r="BQ57">
        <v>475</v>
      </c>
      <c r="BR57" t="s">
        <v>126</v>
      </c>
      <c r="BS57" t="s">
        <v>127</v>
      </c>
      <c r="BT57" t="s">
        <v>208</v>
      </c>
      <c r="BU57" t="s">
        <v>131</v>
      </c>
      <c r="BV57" t="s">
        <v>209</v>
      </c>
      <c r="BW57" t="s">
        <v>209</v>
      </c>
      <c r="BX57">
        <v>46167</v>
      </c>
      <c r="BZ57" t="s">
        <v>94</v>
      </c>
      <c r="CA57">
        <v>46164</v>
      </c>
      <c r="CB57" s="2">
        <v>46171</v>
      </c>
      <c r="CC57" s="2">
        <v>46177</v>
      </c>
      <c r="CD57">
        <f>+VLOOKUP(C57,[1]Sheet1!$A$1:$AC$452,18,FALSE)</f>
        <v>1975</v>
      </c>
    </row>
    <row r="58" spans="1:82" x14ac:dyDescent="0.3">
      <c r="A58" t="s">
        <v>86</v>
      </c>
      <c r="B58">
        <v>20432</v>
      </c>
      <c r="C58">
        <v>445</v>
      </c>
      <c r="D58" s="1">
        <v>46167</v>
      </c>
      <c r="E58">
        <v>22</v>
      </c>
      <c r="F58">
        <v>5</v>
      </c>
      <c r="G58" s="1">
        <v>46177</v>
      </c>
      <c r="H58" t="s">
        <v>87</v>
      </c>
      <c r="I58" t="s">
        <v>88</v>
      </c>
      <c r="J58" t="s">
        <v>132</v>
      </c>
      <c r="K58">
        <v>55</v>
      </c>
      <c r="L58" t="s">
        <v>133</v>
      </c>
      <c r="M58">
        <v>342</v>
      </c>
      <c r="N58" t="s">
        <v>91</v>
      </c>
      <c r="O58" t="s">
        <v>108</v>
      </c>
      <c r="P58" t="s">
        <v>104</v>
      </c>
      <c r="R58" t="s">
        <v>202</v>
      </c>
      <c r="T58" t="s">
        <v>219</v>
      </c>
      <c r="U58" t="s">
        <v>219</v>
      </c>
      <c r="V58" t="s">
        <v>100</v>
      </c>
      <c r="W58" t="s">
        <v>142</v>
      </c>
      <c r="X58" t="s">
        <v>143</v>
      </c>
      <c r="Y58" t="s">
        <v>95</v>
      </c>
      <c r="Z58">
        <v>15</v>
      </c>
      <c r="AA58" t="s">
        <v>89</v>
      </c>
      <c r="AB58" t="s">
        <v>89</v>
      </c>
      <c r="AC58" t="s">
        <v>90</v>
      </c>
      <c r="AD58" t="s">
        <v>107</v>
      </c>
      <c r="AE58">
        <v>80</v>
      </c>
      <c r="AF58">
        <v>1200</v>
      </c>
      <c r="AG58">
        <v>10</v>
      </c>
      <c r="AK58" t="s">
        <v>115</v>
      </c>
      <c r="AM58" t="s">
        <v>96</v>
      </c>
      <c r="AN58" t="s">
        <v>93</v>
      </c>
      <c r="AO58" t="s">
        <v>129</v>
      </c>
      <c r="AV58" t="s">
        <v>205</v>
      </c>
      <c r="AW58" t="s">
        <v>206</v>
      </c>
      <c r="AY58" t="s">
        <v>130</v>
      </c>
      <c r="AZ58" s="1">
        <v>46171</v>
      </c>
      <c r="BA58" t="s">
        <v>145</v>
      </c>
      <c r="BB58">
        <v>445</v>
      </c>
      <c r="BF58" t="s">
        <v>100</v>
      </c>
      <c r="BG58">
        <v>119</v>
      </c>
      <c r="BH58" t="s">
        <v>207</v>
      </c>
      <c r="BJ58" t="s">
        <v>94</v>
      </c>
      <c r="BK58" t="s">
        <v>202</v>
      </c>
      <c r="BL58" t="s">
        <v>100</v>
      </c>
      <c r="BP58" t="s">
        <v>147</v>
      </c>
      <c r="BQ58">
        <v>475</v>
      </c>
      <c r="BR58" t="s">
        <v>126</v>
      </c>
      <c r="BS58" t="s">
        <v>127</v>
      </c>
      <c r="BT58" t="s">
        <v>208</v>
      </c>
      <c r="BU58" t="s">
        <v>131</v>
      </c>
      <c r="BV58" t="s">
        <v>209</v>
      </c>
      <c r="BW58" t="s">
        <v>209</v>
      </c>
      <c r="BX58">
        <v>46167</v>
      </c>
      <c r="BZ58" t="s">
        <v>94</v>
      </c>
      <c r="CA58">
        <v>46164</v>
      </c>
      <c r="CB58" s="2">
        <v>46171</v>
      </c>
      <c r="CC58" s="2">
        <v>46177</v>
      </c>
      <c r="CD58">
        <f>+VLOOKUP(C58,[1]Sheet1!$A$1:$AC$452,18,FALSE)</f>
        <v>1975</v>
      </c>
    </row>
    <row r="59" spans="1:82" x14ac:dyDescent="0.3">
      <c r="A59" t="s">
        <v>86</v>
      </c>
      <c r="B59">
        <v>20433</v>
      </c>
      <c r="C59">
        <v>445</v>
      </c>
      <c r="D59" s="1">
        <v>46167</v>
      </c>
      <c r="E59">
        <v>22</v>
      </c>
      <c r="F59">
        <v>5</v>
      </c>
      <c r="G59" s="1">
        <v>46177</v>
      </c>
      <c r="H59" t="s">
        <v>87</v>
      </c>
      <c r="I59" t="s">
        <v>88</v>
      </c>
      <c r="J59" t="s">
        <v>132</v>
      </c>
      <c r="K59">
        <v>55</v>
      </c>
      <c r="L59" t="s">
        <v>133</v>
      </c>
      <c r="M59">
        <v>342</v>
      </c>
      <c r="N59" t="s">
        <v>91</v>
      </c>
      <c r="O59" t="s">
        <v>108</v>
      </c>
      <c r="P59" t="s">
        <v>104</v>
      </c>
      <c r="R59" t="s">
        <v>202</v>
      </c>
      <c r="T59" t="s">
        <v>220</v>
      </c>
      <c r="U59" t="s">
        <v>220</v>
      </c>
      <c r="V59" t="s">
        <v>100</v>
      </c>
      <c r="W59" t="s">
        <v>142</v>
      </c>
      <c r="X59" t="s">
        <v>143</v>
      </c>
      <c r="Y59" t="s">
        <v>95</v>
      </c>
      <c r="Z59">
        <v>15</v>
      </c>
      <c r="AA59" t="s">
        <v>89</v>
      </c>
      <c r="AB59" t="s">
        <v>89</v>
      </c>
      <c r="AC59" t="s">
        <v>90</v>
      </c>
      <c r="AD59" t="s">
        <v>111</v>
      </c>
      <c r="AE59">
        <v>80</v>
      </c>
      <c r="AF59">
        <v>1200</v>
      </c>
      <c r="AG59">
        <v>10</v>
      </c>
      <c r="AK59" t="s">
        <v>115</v>
      </c>
      <c r="AM59" t="s">
        <v>96</v>
      </c>
      <c r="AN59" t="s">
        <v>93</v>
      </c>
      <c r="AO59" t="s">
        <v>129</v>
      </c>
      <c r="AV59" t="s">
        <v>205</v>
      </c>
      <c r="AW59" t="s">
        <v>206</v>
      </c>
      <c r="AY59" t="s">
        <v>130</v>
      </c>
      <c r="AZ59" s="1">
        <v>46171</v>
      </c>
      <c r="BA59" t="s">
        <v>145</v>
      </c>
      <c r="BB59">
        <v>445</v>
      </c>
      <c r="BF59" t="s">
        <v>100</v>
      </c>
      <c r="BG59">
        <v>119</v>
      </c>
      <c r="BH59" t="s">
        <v>207</v>
      </c>
      <c r="BJ59" t="s">
        <v>94</v>
      </c>
      <c r="BK59" t="s">
        <v>202</v>
      </c>
      <c r="BL59" t="s">
        <v>100</v>
      </c>
      <c r="BP59" t="s">
        <v>147</v>
      </c>
      <c r="BQ59">
        <v>475</v>
      </c>
      <c r="BR59" t="s">
        <v>126</v>
      </c>
      <c r="BS59" t="s">
        <v>127</v>
      </c>
      <c r="BT59" t="s">
        <v>208</v>
      </c>
      <c r="BU59" t="s">
        <v>131</v>
      </c>
      <c r="BV59" t="s">
        <v>209</v>
      </c>
      <c r="BW59" t="s">
        <v>209</v>
      </c>
      <c r="BX59">
        <v>46167</v>
      </c>
      <c r="BZ59" t="s">
        <v>94</v>
      </c>
      <c r="CA59">
        <v>46164</v>
      </c>
      <c r="CB59" s="2">
        <v>46171</v>
      </c>
      <c r="CC59" s="2">
        <v>46177</v>
      </c>
      <c r="CD59">
        <f>+VLOOKUP(C59,[1]Sheet1!$A$1:$AC$452,18,FALSE)</f>
        <v>1975</v>
      </c>
    </row>
    <row r="60" spans="1:82" x14ac:dyDescent="0.3">
      <c r="A60" t="s">
        <v>86</v>
      </c>
      <c r="B60">
        <v>20434</v>
      </c>
      <c r="C60">
        <v>445</v>
      </c>
      <c r="D60" s="1">
        <v>46167</v>
      </c>
      <c r="E60">
        <v>22</v>
      </c>
      <c r="F60">
        <v>5</v>
      </c>
      <c r="G60" s="1">
        <v>46177</v>
      </c>
      <c r="H60" t="s">
        <v>87</v>
      </c>
      <c r="I60" t="s">
        <v>88</v>
      </c>
      <c r="J60" t="s">
        <v>132</v>
      </c>
      <c r="K60">
        <v>55</v>
      </c>
      <c r="L60" t="s">
        <v>133</v>
      </c>
      <c r="M60">
        <v>342</v>
      </c>
      <c r="N60" t="s">
        <v>91</v>
      </c>
      <c r="O60" t="s">
        <v>108</v>
      </c>
      <c r="P60" t="s">
        <v>104</v>
      </c>
      <c r="R60" t="s">
        <v>202</v>
      </c>
      <c r="T60" t="s">
        <v>221</v>
      </c>
      <c r="U60" t="s">
        <v>221</v>
      </c>
      <c r="V60" t="s">
        <v>100</v>
      </c>
      <c r="W60" t="s">
        <v>142</v>
      </c>
      <c r="X60" t="s">
        <v>143</v>
      </c>
      <c r="Y60" t="s">
        <v>95</v>
      </c>
      <c r="Z60">
        <v>15</v>
      </c>
      <c r="AA60" t="s">
        <v>89</v>
      </c>
      <c r="AB60" t="s">
        <v>89</v>
      </c>
      <c r="AC60" t="s">
        <v>90</v>
      </c>
      <c r="AD60" t="s">
        <v>107</v>
      </c>
      <c r="AE60">
        <v>80</v>
      </c>
      <c r="AF60">
        <v>1200</v>
      </c>
      <c r="AG60">
        <v>10</v>
      </c>
      <c r="AK60" t="s">
        <v>115</v>
      </c>
      <c r="AM60" t="s">
        <v>96</v>
      </c>
      <c r="AN60" t="s">
        <v>93</v>
      </c>
      <c r="AO60" t="s">
        <v>129</v>
      </c>
      <c r="AV60" t="s">
        <v>205</v>
      </c>
      <c r="AW60" t="s">
        <v>206</v>
      </c>
      <c r="AY60" t="s">
        <v>130</v>
      </c>
      <c r="AZ60" s="1">
        <v>46171</v>
      </c>
      <c r="BA60" t="s">
        <v>145</v>
      </c>
      <c r="BB60">
        <v>445</v>
      </c>
      <c r="BF60" t="s">
        <v>100</v>
      </c>
      <c r="BG60">
        <v>119</v>
      </c>
      <c r="BH60" t="s">
        <v>207</v>
      </c>
      <c r="BJ60" t="s">
        <v>94</v>
      </c>
      <c r="BK60" t="s">
        <v>202</v>
      </c>
      <c r="BL60" t="s">
        <v>100</v>
      </c>
      <c r="BP60" t="s">
        <v>147</v>
      </c>
      <c r="BQ60">
        <v>475</v>
      </c>
      <c r="BR60" t="s">
        <v>126</v>
      </c>
      <c r="BS60" t="s">
        <v>127</v>
      </c>
      <c r="BT60" t="s">
        <v>208</v>
      </c>
      <c r="BU60" t="s">
        <v>131</v>
      </c>
      <c r="BV60" t="s">
        <v>209</v>
      </c>
      <c r="BW60" t="s">
        <v>209</v>
      </c>
      <c r="BX60">
        <v>46167</v>
      </c>
      <c r="BZ60" t="s">
        <v>94</v>
      </c>
      <c r="CA60">
        <v>46164</v>
      </c>
      <c r="CB60" s="2">
        <v>46171</v>
      </c>
      <c r="CC60" s="2">
        <v>46177</v>
      </c>
      <c r="CD60">
        <f>+VLOOKUP(C60,[1]Sheet1!$A$1:$AC$452,18,FALSE)</f>
        <v>1975</v>
      </c>
    </row>
    <row r="61" spans="1:82" x14ac:dyDescent="0.3">
      <c r="A61" t="s">
        <v>86</v>
      </c>
      <c r="B61">
        <v>20435</v>
      </c>
      <c r="C61">
        <v>445</v>
      </c>
      <c r="D61" s="1">
        <v>46167</v>
      </c>
      <c r="E61">
        <v>22</v>
      </c>
      <c r="F61">
        <v>5</v>
      </c>
      <c r="G61" s="1">
        <v>46177</v>
      </c>
      <c r="H61" t="s">
        <v>87</v>
      </c>
      <c r="I61" t="s">
        <v>88</v>
      </c>
      <c r="J61" t="s">
        <v>132</v>
      </c>
      <c r="K61">
        <v>55</v>
      </c>
      <c r="L61" t="s">
        <v>133</v>
      </c>
      <c r="M61">
        <v>342</v>
      </c>
      <c r="N61" t="s">
        <v>91</v>
      </c>
      <c r="O61" t="s">
        <v>108</v>
      </c>
      <c r="P61" t="s">
        <v>104</v>
      </c>
      <c r="R61" t="s">
        <v>202</v>
      </c>
      <c r="T61" t="s">
        <v>222</v>
      </c>
      <c r="U61" t="s">
        <v>222</v>
      </c>
      <c r="V61" t="s">
        <v>100</v>
      </c>
      <c r="W61" t="s">
        <v>142</v>
      </c>
      <c r="X61" t="s">
        <v>143</v>
      </c>
      <c r="Y61" t="s">
        <v>95</v>
      </c>
      <c r="Z61">
        <v>15</v>
      </c>
      <c r="AA61" t="s">
        <v>89</v>
      </c>
      <c r="AB61" t="s">
        <v>89</v>
      </c>
      <c r="AC61" t="s">
        <v>90</v>
      </c>
      <c r="AD61" t="s">
        <v>111</v>
      </c>
      <c r="AE61">
        <v>80</v>
      </c>
      <c r="AF61">
        <v>1200</v>
      </c>
      <c r="AG61">
        <v>10</v>
      </c>
      <c r="AK61" t="s">
        <v>115</v>
      </c>
      <c r="AM61" t="s">
        <v>96</v>
      </c>
      <c r="AN61" t="s">
        <v>93</v>
      </c>
      <c r="AO61" t="s">
        <v>129</v>
      </c>
      <c r="AV61" t="s">
        <v>205</v>
      </c>
      <c r="AW61" t="s">
        <v>206</v>
      </c>
      <c r="AY61" t="s">
        <v>130</v>
      </c>
      <c r="AZ61" s="1">
        <v>46171</v>
      </c>
      <c r="BA61" t="s">
        <v>145</v>
      </c>
      <c r="BB61">
        <v>445</v>
      </c>
      <c r="BF61" t="s">
        <v>100</v>
      </c>
      <c r="BG61">
        <v>119</v>
      </c>
      <c r="BH61" t="s">
        <v>207</v>
      </c>
      <c r="BJ61" t="s">
        <v>94</v>
      </c>
      <c r="BK61" t="s">
        <v>202</v>
      </c>
      <c r="BL61" t="s">
        <v>100</v>
      </c>
      <c r="BP61" t="s">
        <v>147</v>
      </c>
      <c r="BQ61">
        <v>475</v>
      </c>
      <c r="BR61" t="s">
        <v>126</v>
      </c>
      <c r="BS61" t="s">
        <v>127</v>
      </c>
      <c r="BT61" t="s">
        <v>208</v>
      </c>
      <c r="BU61" t="s">
        <v>131</v>
      </c>
      <c r="BV61" t="s">
        <v>209</v>
      </c>
      <c r="BW61" t="s">
        <v>209</v>
      </c>
      <c r="BX61">
        <v>46167</v>
      </c>
      <c r="BZ61" t="s">
        <v>94</v>
      </c>
      <c r="CA61">
        <v>46164</v>
      </c>
      <c r="CB61" s="2">
        <v>46171</v>
      </c>
      <c r="CC61" s="2">
        <v>46177</v>
      </c>
      <c r="CD61">
        <f>+VLOOKUP(C61,[1]Sheet1!$A$1:$AC$452,18,FALSE)</f>
        <v>1975</v>
      </c>
    </row>
    <row r="62" spans="1:82" x14ac:dyDescent="0.3">
      <c r="A62" t="s">
        <v>86</v>
      </c>
      <c r="B62">
        <v>20436</v>
      </c>
      <c r="C62">
        <v>445</v>
      </c>
      <c r="D62" s="1">
        <v>46167</v>
      </c>
      <c r="E62">
        <v>22</v>
      </c>
      <c r="F62">
        <v>5</v>
      </c>
      <c r="G62" s="1">
        <v>46177</v>
      </c>
      <c r="H62" t="s">
        <v>87</v>
      </c>
      <c r="I62" t="s">
        <v>88</v>
      </c>
      <c r="J62" t="s">
        <v>132</v>
      </c>
      <c r="K62">
        <v>55</v>
      </c>
      <c r="L62" t="s">
        <v>133</v>
      </c>
      <c r="M62">
        <v>342</v>
      </c>
      <c r="N62" t="s">
        <v>91</v>
      </c>
      <c r="O62" t="s">
        <v>108</v>
      </c>
      <c r="P62" t="s">
        <v>104</v>
      </c>
      <c r="R62" t="s">
        <v>202</v>
      </c>
      <c r="T62" t="s">
        <v>223</v>
      </c>
      <c r="U62" t="s">
        <v>223</v>
      </c>
      <c r="V62" t="s">
        <v>100</v>
      </c>
      <c r="W62" t="s">
        <v>142</v>
      </c>
      <c r="X62" t="s">
        <v>143</v>
      </c>
      <c r="Y62" t="s">
        <v>95</v>
      </c>
      <c r="Z62">
        <v>15</v>
      </c>
      <c r="AA62" t="s">
        <v>89</v>
      </c>
      <c r="AB62" t="s">
        <v>89</v>
      </c>
      <c r="AC62" t="s">
        <v>90</v>
      </c>
      <c r="AD62" t="s">
        <v>117</v>
      </c>
      <c r="AE62">
        <v>80</v>
      </c>
      <c r="AF62">
        <v>1200</v>
      </c>
      <c r="AG62">
        <v>10</v>
      </c>
      <c r="AK62" t="s">
        <v>115</v>
      </c>
      <c r="AM62" t="s">
        <v>96</v>
      </c>
      <c r="AN62" t="s">
        <v>93</v>
      </c>
      <c r="AO62" t="s">
        <v>129</v>
      </c>
      <c r="AV62" t="s">
        <v>205</v>
      </c>
      <c r="AW62" t="s">
        <v>206</v>
      </c>
      <c r="AY62" t="s">
        <v>130</v>
      </c>
      <c r="AZ62" s="1">
        <v>46171</v>
      </c>
      <c r="BA62" t="s">
        <v>145</v>
      </c>
      <c r="BB62">
        <v>445</v>
      </c>
      <c r="BF62" t="s">
        <v>100</v>
      </c>
      <c r="BG62">
        <v>119</v>
      </c>
      <c r="BH62" t="s">
        <v>207</v>
      </c>
      <c r="BJ62" t="s">
        <v>94</v>
      </c>
      <c r="BK62" t="s">
        <v>202</v>
      </c>
      <c r="BL62" t="s">
        <v>100</v>
      </c>
      <c r="BP62" t="s">
        <v>147</v>
      </c>
      <c r="BQ62">
        <v>475</v>
      </c>
      <c r="BR62" t="s">
        <v>126</v>
      </c>
      <c r="BS62" t="s">
        <v>127</v>
      </c>
      <c r="BT62" t="s">
        <v>208</v>
      </c>
      <c r="BU62" t="s">
        <v>131</v>
      </c>
      <c r="BV62" t="s">
        <v>209</v>
      </c>
      <c r="BW62" t="s">
        <v>209</v>
      </c>
      <c r="BX62">
        <v>46167</v>
      </c>
      <c r="BZ62" t="s">
        <v>94</v>
      </c>
      <c r="CA62">
        <v>46164</v>
      </c>
      <c r="CB62" s="2">
        <v>46171</v>
      </c>
      <c r="CC62" s="2">
        <v>46177</v>
      </c>
      <c r="CD62">
        <f>+VLOOKUP(C62,[1]Sheet1!$A$1:$AC$452,18,FALSE)</f>
        <v>1975</v>
      </c>
    </row>
    <row r="63" spans="1:82" x14ac:dyDescent="0.3">
      <c r="A63" t="s">
        <v>86</v>
      </c>
      <c r="B63">
        <v>20437</v>
      </c>
      <c r="C63">
        <v>445</v>
      </c>
      <c r="D63" s="1">
        <v>46167</v>
      </c>
      <c r="E63">
        <v>22</v>
      </c>
      <c r="F63">
        <v>5</v>
      </c>
      <c r="G63" s="1">
        <v>46177</v>
      </c>
      <c r="H63" t="s">
        <v>87</v>
      </c>
      <c r="I63" t="s">
        <v>88</v>
      </c>
      <c r="J63" t="s">
        <v>132</v>
      </c>
      <c r="K63">
        <v>55</v>
      </c>
      <c r="L63" t="s">
        <v>133</v>
      </c>
      <c r="M63">
        <v>342</v>
      </c>
      <c r="N63" t="s">
        <v>91</v>
      </c>
      <c r="O63" t="s">
        <v>108</v>
      </c>
      <c r="P63" t="s">
        <v>104</v>
      </c>
      <c r="R63" t="s">
        <v>202</v>
      </c>
      <c r="T63" t="s">
        <v>224</v>
      </c>
      <c r="U63" t="s">
        <v>224</v>
      </c>
      <c r="V63" t="s">
        <v>100</v>
      </c>
      <c r="W63" t="s">
        <v>142</v>
      </c>
      <c r="X63" t="s">
        <v>143</v>
      </c>
      <c r="Y63" t="s">
        <v>95</v>
      </c>
      <c r="Z63">
        <v>15</v>
      </c>
      <c r="AA63" t="s">
        <v>89</v>
      </c>
      <c r="AB63" t="s">
        <v>89</v>
      </c>
      <c r="AC63" t="s">
        <v>90</v>
      </c>
      <c r="AD63" t="s">
        <v>117</v>
      </c>
      <c r="AE63">
        <v>80</v>
      </c>
      <c r="AF63">
        <v>1200</v>
      </c>
      <c r="AG63">
        <v>10</v>
      </c>
      <c r="AK63" t="s">
        <v>115</v>
      </c>
      <c r="AM63" t="s">
        <v>96</v>
      </c>
      <c r="AN63" t="s">
        <v>93</v>
      </c>
      <c r="AO63" t="s">
        <v>129</v>
      </c>
      <c r="AV63" t="s">
        <v>205</v>
      </c>
      <c r="AW63" t="s">
        <v>206</v>
      </c>
      <c r="AY63" t="s">
        <v>130</v>
      </c>
      <c r="AZ63" s="1">
        <v>46171</v>
      </c>
      <c r="BA63" t="s">
        <v>145</v>
      </c>
      <c r="BB63">
        <v>445</v>
      </c>
      <c r="BF63" t="s">
        <v>100</v>
      </c>
      <c r="BG63">
        <v>119</v>
      </c>
      <c r="BH63" t="s">
        <v>207</v>
      </c>
      <c r="BJ63" t="s">
        <v>94</v>
      </c>
      <c r="BK63" t="s">
        <v>202</v>
      </c>
      <c r="BL63" t="s">
        <v>100</v>
      </c>
      <c r="BP63" t="s">
        <v>147</v>
      </c>
      <c r="BQ63">
        <v>475</v>
      </c>
      <c r="BR63" t="s">
        <v>126</v>
      </c>
      <c r="BS63" t="s">
        <v>127</v>
      </c>
      <c r="BT63" t="s">
        <v>208</v>
      </c>
      <c r="BU63" t="s">
        <v>131</v>
      </c>
      <c r="BV63" t="s">
        <v>209</v>
      </c>
      <c r="BW63" t="s">
        <v>209</v>
      </c>
      <c r="BX63">
        <v>46167</v>
      </c>
      <c r="BZ63" t="s">
        <v>94</v>
      </c>
      <c r="CA63">
        <v>46164</v>
      </c>
      <c r="CB63" s="2">
        <v>46171</v>
      </c>
      <c r="CC63" s="2">
        <v>46177</v>
      </c>
      <c r="CD63">
        <f>+VLOOKUP(C63,[1]Sheet1!$A$1:$AC$452,18,FALSE)</f>
        <v>1975</v>
      </c>
    </row>
    <row r="64" spans="1:82" x14ac:dyDescent="0.3">
      <c r="A64" t="s">
        <v>86</v>
      </c>
      <c r="B64">
        <v>20438</v>
      </c>
      <c r="C64">
        <v>445</v>
      </c>
      <c r="D64" s="1">
        <v>46167</v>
      </c>
      <c r="E64">
        <v>22</v>
      </c>
      <c r="F64">
        <v>5</v>
      </c>
      <c r="G64" s="1">
        <v>46177</v>
      </c>
      <c r="H64" t="s">
        <v>87</v>
      </c>
      <c r="I64" t="s">
        <v>88</v>
      </c>
      <c r="J64" t="s">
        <v>132</v>
      </c>
      <c r="K64">
        <v>55</v>
      </c>
      <c r="L64" t="s">
        <v>133</v>
      </c>
      <c r="M64">
        <v>342</v>
      </c>
      <c r="N64" t="s">
        <v>91</v>
      </c>
      <c r="O64" t="s">
        <v>108</v>
      </c>
      <c r="P64" t="s">
        <v>104</v>
      </c>
      <c r="R64" t="s">
        <v>202</v>
      </c>
      <c r="T64" t="s">
        <v>225</v>
      </c>
      <c r="U64" t="s">
        <v>225</v>
      </c>
      <c r="V64" t="s">
        <v>100</v>
      </c>
      <c r="W64" t="s">
        <v>142</v>
      </c>
      <c r="X64" t="s">
        <v>143</v>
      </c>
      <c r="Y64" t="s">
        <v>95</v>
      </c>
      <c r="Z64">
        <v>15</v>
      </c>
      <c r="AA64" t="s">
        <v>89</v>
      </c>
      <c r="AB64" t="s">
        <v>89</v>
      </c>
      <c r="AC64" t="s">
        <v>90</v>
      </c>
      <c r="AD64" t="s">
        <v>105</v>
      </c>
      <c r="AE64">
        <v>80</v>
      </c>
      <c r="AF64">
        <v>1200</v>
      </c>
      <c r="AG64">
        <v>10</v>
      </c>
      <c r="AK64" t="s">
        <v>115</v>
      </c>
      <c r="AM64" t="s">
        <v>96</v>
      </c>
      <c r="AN64" t="s">
        <v>93</v>
      </c>
      <c r="AO64" t="s">
        <v>129</v>
      </c>
      <c r="AV64" t="s">
        <v>205</v>
      </c>
      <c r="AW64" t="s">
        <v>206</v>
      </c>
      <c r="AY64" t="s">
        <v>130</v>
      </c>
      <c r="AZ64" s="1">
        <v>46171</v>
      </c>
      <c r="BA64" t="s">
        <v>145</v>
      </c>
      <c r="BB64">
        <v>445</v>
      </c>
      <c r="BF64" t="s">
        <v>100</v>
      </c>
      <c r="BG64">
        <v>119</v>
      </c>
      <c r="BH64" t="s">
        <v>207</v>
      </c>
      <c r="BJ64" t="s">
        <v>94</v>
      </c>
      <c r="BK64" t="s">
        <v>202</v>
      </c>
      <c r="BL64" t="s">
        <v>100</v>
      </c>
      <c r="BP64" t="s">
        <v>147</v>
      </c>
      <c r="BQ64">
        <v>475</v>
      </c>
      <c r="BR64" t="s">
        <v>126</v>
      </c>
      <c r="BS64" t="s">
        <v>127</v>
      </c>
      <c r="BT64" t="s">
        <v>208</v>
      </c>
      <c r="BU64" t="s">
        <v>131</v>
      </c>
      <c r="BV64" t="s">
        <v>209</v>
      </c>
      <c r="BW64" t="s">
        <v>209</v>
      </c>
      <c r="BX64">
        <v>46167</v>
      </c>
      <c r="BZ64" t="s">
        <v>94</v>
      </c>
      <c r="CA64">
        <v>46164</v>
      </c>
      <c r="CB64" s="2">
        <v>46171</v>
      </c>
      <c r="CC64" s="2">
        <v>46177</v>
      </c>
      <c r="CD64">
        <f>+VLOOKUP(C64,[1]Sheet1!$A$1:$AC$452,18,FALSE)</f>
        <v>1975</v>
      </c>
    </row>
    <row r="65" spans="1:82" x14ac:dyDescent="0.3">
      <c r="A65" t="s">
        <v>86</v>
      </c>
      <c r="B65">
        <v>20439</v>
      </c>
      <c r="C65">
        <v>445</v>
      </c>
      <c r="D65" s="1">
        <v>46167</v>
      </c>
      <c r="E65">
        <v>22</v>
      </c>
      <c r="F65">
        <v>5</v>
      </c>
      <c r="G65" s="1">
        <v>46177</v>
      </c>
      <c r="H65" t="s">
        <v>87</v>
      </c>
      <c r="I65" t="s">
        <v>88</v>
      </c>
      <c r="J65" t="s">
        <v>132</v>
      </c>
      <c r="K65">
        <v>55</v>
      </c>
      <c r="L65" t="s">
        <v>133</v>
      </c>
      <c r="M65">
        <v>342</v>
      </c>
      <c r="N65" t="s">
        <v>91</v>
      </c>
      <c r="O65" t="s">
        <v>108</v>
      </c>
      <c r="P65" t="s">
        <v>104</v>
      </c>
      <c r="R65" t="s">
        <v>202</v>
      </c>
      <c r="T65" t="s">
        <v>226</v>
      </c>
      <c r="U65" t="s">
        <v>226</v>
      </c>
      <c r="V65" t="s">
        <v>100</v>
      </c>
      <c r="W65" t="s">
        <v>142</v>
      </c>
      <c r="X65" t="s">
        <v>143</v>
      </c>
      <c r="Y65" t="s">
        <v>95</v>
      </c>
      <c r="Z65">
        <v>15</v>
      </c>
      <c r="AA65" t="s">
        <v>89</v>
      </c>
      <c r="AB65" t="s">
        <v>89</v>
      </c>
      <c r="AC65" t="s">
        <v>90</v>
      </c>
      <c r="AD65" t="s">
        <v>107</v>
      </c>
      <c r="AE65">
        <v>80</v>
      </c>
      <c r="AF65">
        <v>1200</v>
      </c>
      <c r="AG65">
        <v>10</v>
      </c>
      <c r="AK65" t="s">
        <v>115</v>
      </c>
      <c r="AM65" t="s">
        <v>96</v>
      </c>
      <c r="AN65" t="s">
        <v>93</v>
      </c>
      <c r="AO65" t="s">
        <v>129</v>
      </c>
      <c r="AV65" t="s">
        <v>205</v>
      </c>
      <c r="AW65" t="s">
        <v>206</v>
      </c>
      <c r="AY65" t="s">
        <v>130</v>
      </c>
      <c r="AZ65" s="1">
        <v>46171</v>
      </c>
      <c r="BA65" t="s">
        <v>145</v>
      </c>
      <c r="BB65">
        <v>445</v>
      </c>
      <c r="BF65" t="s">
        <v>100</v>
      </c>
      <c r="BG65">
        <v>119</v>
      </c>
      <c r="BH65" t="s">
        <v>207</v>
      </c>
      <c r="BJ65" t="s">
        <v>94</v>
      </c>
      <c r="BK65" t="s">
        <v>202</v>
      </c>
      <c r="BL65" t="s">
        <v>100</v>
      </c>
      <c r="BP65" t="s">
        <v>147</v>
      </c>
      <c r="BQ65">
        <v>475</v>
      </c>
      <c r="BR65" t="s">
        <v>126</v>
      </c>
      <c r="BS65" t="s">
        <v>127</v>
      </c>
      <c r="BT65" t="s">
        <v>208</v>
      </c>
      <c r="BU65" t="s">
        <v>131</v>
      </c>
      <c r="BV65" t="s">
        <v>209</v>
      </c>
      <c r="BW65" t="s">
        <v>209</v>
      </c>
      <c r="BX65">
        <v>46167</v>
      </c>
      <c r="BZ65" t="s">
        <v>94</v>
      </c>
      <c r="CA65">
        <v>46164</v>
      </c>
      <c r="CB65" s="2">
        <v>46171</v>
      </c>
      <c r="CC65" s="2">
        <v>46177</v>
      </c>
      <c r="CD65">
        <f>+VLOOKUP(C65,[1]Sheet1!$A$1:$AC$452,18,FALSE)</f>
        <v>1975</v>
      </c>
    </row>
    <row r="66" spans="1:82" x14ac:dyDescent="0.3">
      <c r="A66" t="s">
        <v>86</v>
      </c>
      <c r="B66">
        <v>20440</v>
      </c>
      <c r="C66">
        <v>445</v>
      </c>
      <c r="D66" s="1">
        <v>46167</v>
      </c>
      <c r="E66">
        <v>22</v>
      </c>
      <c r="F66">
        <v>5</v>
      </c>
      <c r="G66" s="1">
        <v>46177</v>
      </c>
      <c r="H66" t="s">
        <v>87</v>
      </c>
      <c r="I66" t="s">
        <v>88</v>
      </c>
      <c r="J66" t="s">
        <v>132</v>
      </c>
      <c r="K66">
        <v>55</v>
      </c>
      <c r="L66" t="s">
        <v>133</v>
      </c>
      <c r="M66">
        <v>342</v>
      </c>
      <c r="N66" t="s">
        <v>91</v>
      </c>
      <c r="O66" t="s">
        <v>108</v>
      </c>
      <c r="P66" t="s">
        <v>104</v>
      </c>
      <c r="R66" t="s">
        <v>202</v>
      </c>
      <c r="T66" t="s">
        <v>227</v>
      </c>
      <c r="U66" t="s">
        <v>227</v>
      </c>
      <c r="V66" t="s">
        <v>100</v>
      </c>
      <c r="W66" t="s">
        <v>142</v>
      </c>
      <c r="X66" t="s">
        <v>143</v>
      </c>
      <c r="Y66" t="s">
        <v>95</v>
      </c>
      <c r="Z66">
        <v>15</v>
      </c>
      <c r="AA66" t="s">
        <v>89</v>
      </c>
      <c r="AB66" t="s">
        <v>89</v>
      </c>
      <c r="AC66" t="s">
        <v>90</v>
      </c>
      <c r="AD66" t="s">
        <v>107</v>
      </c>
      <c r="AE66">
        <v>80</v>
      </c>
      <c r="AF66">
        <v>1200</v>
      </c>
      <c r="AG66">
        <v>10</v>
      </c>
      <c r="AK66" t="s">
        <v>115</v>
      </c>
      <c r="AM66" t="s">
        <v>96</v>
      </c>
      <c r="AN66" t="s">
        <v>93</v>
      </c>
      <c r="AO66" t="s">
        <v>129</v>
      </c>
      <c r="AV66" t="s">
        <v>205</v>
      </c>
      <c r="AW66" t="s">
        <v>206</v>
      </c>
      <c r="AY66" t="s">
        <v>130</v>
      </c>
      <c r="AZ66" s="1">
        <v>46171</v>
      </c>
      <c r="BA66" t="s">
        <v>145</v>
      </c>
      <c r="BB66">
        <v>445</v>
      </c>
      <c r="BF66" t="s">
        <v>100</v>
      </c>
      <c r="BG66">
        <v>119</v>
      </c>
      <c r="BH66" t="s">
        <v>207</v>
      </c>
      <c r="BJ66" t="s">
        <v>94</v>
      </c>
      <c r="BK66" t="s">
        <v>202</v>
      </c>
      <c r="BL66" t="s">
        <v>100</v>
      </c>
      <c r="BP66" t="s">
        <v>147</v>
      </c>
      <c r="BQ66">
        <v>475</v>
      </c>
      <c r="BR66" t="s">
        <v>126</v>
      </c>
      <c r="BS66" t="s">
        <v>127</v>
      </c>
      <c r="BT66" t="s">
        <v>208</v>
      </c>
      <c r="BU66" t="s">
        <v>131</v>
      </c>
      <c r="BV66" t="s">
        <v>209</v>
      </c>
      <c r="BW66" t="s">
        <v>209</v>
      </c>
      <c r="BX66">
        <v>46167</v>
      </c>
      <c r="BZ66" t="s">
        <v>94</v>
      </c>
      <c r="CA66">
        <v>46164</v>
      </c>
      <c r="CB66" s="2">
        <v>46171</v>
      </c>
      <c r="CC66" s="2">
        <v>46177</v>
      </c>
      <c r="CD66">
        <f>+VLOOKUP(C66,[1]Sheet1!$A$1:$AC$452,18,FALSE)</f>
        <v>1975</v>
      </c>
    </row>
    <row r="67" spans="1:82" x14ac:dyDescent="0.3">
      <c r="A67" t="s">
        <v>86</v>
      </c>
      <c r="B67">
        <v>20441</v>
      </c>
      <c r="C67">
        <v>445</v>
      </c>
      <c r="D67" s="1">
        <v>46167</v>
      </c>
      <c r="E67">
        <v>22</v>
      </c>
      <c r="F67">
        <v>5</v>
      </c>
      <c r="G67" s="1">
        <v>46177</v>
      </c>
      <c r="H67" t="s">
        <v>87</v>
      </c>
      <c r="I67" t="s">
        <v>88</v>
      </c>
      <c r="J67" t="s">
        <v>132</v>
      </c>
      <c r="K67">
        <v>55</v>
      </c>
      <c r="L67" t="s">
        <v>133</v>
      </c>
      <c r="M67">
        <v>342</v>
      </c>
      <c r="N67" t="s">
        <v>91</v>
      </c>
      <c r="O67" t="s">
        <v>108</v>
      </c>
      <c r="P67" t="s">
        <v>104</v>
      </c>
      <c r="R67" t="s">
        <v>202</v>
      </c>
      <c r="T67" t="s">
        <v>228</v>
      </c>
      <c r="U67" t="s">
        <v>228</v>
      </c>
      <c r="V67" t="s">
        <v>100</v>
      </c>
      <c r="W67" t="s">
        <v>142</v>
      </c>
      <c r="X67" t="s">
        <v>143</v>
      </c>
      <c r="Y67" t="s">
        <v>95</v>
      </c>
      <c r="Z67">
        <v>15</v>
      </c>
      <c r="AA67" t="s">
        <v>89</v>
      </c>
      <c r="AB67" t="s">
        <v>89</v>
      </c>
      <c r="AC67" t="s">
        <v>90</v>
      </c>
      <c r="AD67" t="s">
        <v>107</v>
      </c>
      <c r="AE67">
        <v>80</v>
      </c>
      <c r="AF67">
        <v>1200</v>
      </c>
      <c r="AG67">
        <v>10</v>
      </c>
      <c r="AK67" t="s">
        <v>115</v>
      </c>
      <c r="AM67" t="s">
        <v>96</v>
      </c>
      <c r="AN67" t="s">
        <v>93</v>
      </c>
      <c r="AO67" t="s">
        <v>129</v>
      </c>
      <c r="AV67" t="s">
        <v>205</v>
      </c>
      <c r="AW67" t="s">
        <v>206</v>
      </c>
      <c r="AY67" t="s">
        <v>130</v>
      </c>
      <c r="AZ67" s="1">
        <v>46171</v>
      </c>
      <c r="BA67" t="s">
        <v>145</v>
      </c>
      <c r="BB67">
        <v>445</v>
      </c>
      <c r="BF67" t="s">
        <v>100</v>
      </c>
      <c r="BG67">
        <v>119</v>
      </c>
      <c r="BH67" t="s">
        <v>207</v>
      </c>
      <c r="BJ67" t="s">
        <v>94</v>
      </c>
      <c r="BK67" t="s">
        <v>202</v>
      </c>
      <c r="BL67" t="s">
        <v>100</v>
      </c>
      <c r="BP67" t="s">
        <v>147</v>
      </c>
      <c r="BQ67">
        <v>475</v>
      </c>
      <c r="BR67" t="s">
        <v>126</v>
      </c>
      <c r="BS67" t="s">
        <v>127</v>
      </c>
      <c r="BT67" t="s">
        <v>208</v>
      </c>
      <c r="BU67" t="s">
        <v>131</v>
      </c>
      <c r="BV67" t="s">
        <v>209</v>
      </c>
      <c r="BW67" t="s">
        <v>209</v>
      </c>
      <c r="BX67">
        <v>46167</v>
      </c>
      <c r="BZ67" t="s">
        <v>94</v>
      </c>
      <c r="CA67">
        <v>46164</v>
      </c>
      <c r="CB67" s="2">
        <v>46171</v>
      </c>
      <c r="CC67" s="2">
        <v>46177</v>
      </c>
      <c r="CD67">
        <f>+VLOOKUP(C67,[1]Sheet1!$A$1:$AC$452,18,FALSE)</f>
        <v>1975</v>
      </c>
    </row>
    <row r="68" spans="1:82" x14ac:dyDescent="0.3">
      <c r="A68" t="s">
        <v>86</v>
      </c>
      <c r="B68">
        <v>20514</v>
      </c>
      <c r="C68">
        <v>448</v>
      </c>
      <c r="D68" s="1">
        <v>46169</v>
      </c>
      <c r="E68">
        <v>22</v>
      </c>
      <c r="F68">
        <v>5</v>
      </c>
      <c r="G68" s="1">
        <v>46189</v>
      </c>
      <c r="H68" t="s">
        <v>87</v>
      </c>
      <c r="I68" t="s">
        <v>88</v>
      </c>
      <c r="J68" t="s">
        <v>229</v>
      </c>
      <c r="K68">
        <v>19</v>
      </c>
      <c r="L68" t="s">
        <v>230</v>
      </c>
      <c r="M68">
        <v>173</v>
      </c>
      <c r="N68" t="s">
        <v>98</v>
      </c>
      <c r="O68" t="s">
        <v>231</v>
      </c>
      <c r="P68" t="s">
        <v>99</v>
      </c>
      <c r="Q68" t="s">
        <v>110</v>
      </c>
      <c r="R68" t="s">
        <v>232</v>
      </c>
      <c r="T68" t="s">
        <v>233</v>
      </c>
      <c r="U68" t="s">
        <v>233</v>
      </c>
      <c r="V68" t="s">
        <v>100</v>
      </c>
      <c r="W68" t="s">
        <v>142</v>
      </c>
      <c r="X68" t="s">
        <v>143</v>
      </c>
      <c r="Y68" t="s">
        <v>95</v>
      </c>
      <c r="Z68">
        <v>15</v>
      </c>
      <c r="AA68" t="s">
        <v>89</v>
      </c>
      <c r="AB68" t="s">
        <v>89</v>
      </c>
      <c r="AC68" t="s">
        <v>90</v>
      </c>
      <c r="AD68" t="s">
        <v>118</v>
      </c>
      <c r="AE68">
        <v>80</v>
      </c>
      <c r="AF68">
        <v>1200</v>
      </c>
      <c r="AG68">
        <v>10</v>
      </c>
      <c r="AK68" t="s">
        <v>235</v>
      </c>
      <c r="AM68" t="s">
        <v>96</v>
      </c>
      <c r="AN68" t="s">
        <v>93</v>
      </c>
      <c r="AO68" t="s">
        <v>124</v>
      </c>
      <c r="AV68" t="s">
        <v>120</v>
      </c>
      <c r="AW68" t="s">
        <v>236</v>
      </c>
      <c r="AY68" t="s">
        <v>112</v>
      </c>
      <c r="AZ68" s="1">
        <v>46171</v>
      </c>
      <c r="BA68" t="s">
        <v>145</v>
      </c>
      <c r="BB68">
        <v>448</v>
      </c>
      <c r="BF68" t="s">
        <v>100</v>
      </c>
      <c r="BG68">
        <v>19</v>
      </c>
      <c r="BH68" t="s">
        <v>102</v>
      </c>
      <c r="BJ68" t="s">
        <v>94</v>
      </c>
      <c r="BK68" t="s">
        <v>232</v>
      </c>
      <c r="BL68" t="s">
        <v>100</v>
      </c>
      <c r="BP68" t="s">
        <v>147</v>
      </c>
      <c r="BQ68">
        <v>478</v>
      </c>
      <c r="BR68" t="s">
        <v>113</v>
      </c>
      <c r="BS68" t="s">
        <v>127</v>
      </c>
      <c r="BT68" t="s">
        <v>103</v>
      </c>
      <c r="BU68" t="s">
        <v>114</v>
      </c>
      <c r="BV68" t="s">
        <v>237</v>
      </c>
      <c r="BW68" t="s">
        <v>238</v>
      </c>
      <c r="BX68">
        <v>46169</v>
      </c>
      <c r="BZ68" t="s">
        <v>94</v>
      </c>
      <c r="CA68">
        <v>46168</v>
      </c>
      <c r="CB68" s="2">
        <v>46171</v>
      </c>
      <c r="CC68" s="2">
        <v>46189</v>
      </c>
      <c r="CD68">
        <f>+VLOOKUP(C68,[1]Sheet1!$A$1:$AC$452,18,FALSE)</f>
        <v>1976</v>
      </c>
    </row>
    <row r="69" spans="1:82" x14ac:dyDescent="0.3">
      <c r="A69" t="s">
        <v>86</v>
      </c>
      <c r="B69">
        <v>20515</v>
      </c>
      <c r="C69">
        <v>448</v>
      </c>
      <c r="D69" s="1">
        <v>46169</v>
      </c>
      <c r="E69">
        <v>22</v>
      </c>
      <c r="F69">
        <v>5</v>
      </c>
      <c r="G69" s="1">
        <v>46189</v>
      </c>
      <c r="H69" t="s">
        <v>87</v>
      </c>
      <c r="I69" t="s">
        <v>88</v>
      </c>
      <c r="J69" t="s">
        <v>229</v>
      </c>
      <c r="K69">
        <v>19</v>
      </c>
      <c r="L69" t="s">
        <v>230</v>
      </c>
      <c r="M69">
        <v>173</v>
      </c>
      <c r="N69" t="s">
        <v>98</v>
      </c>
      <c r="O69" t="s">
        <v>231</v>
      </c>
      <c r="P69" t="s">
        <v>99</v>
      </c>
      <c r="Q69" t="s">
        <v>110</v>
      </c>
      <c r="R69" t="s">
        <v>232</v>
      </c>
      <c r="T69" t="s">
        <v>239</v>
      </c>
      <c r="U69" t="s">
        <v>239</v>
      </c>
      <c r="V69" t="s">
        <v>100</v>
      </c>
      <c r="W69" t="s">
        <v>142</v>
      </c>
      <c r="X69" t="s">
        <v>143</v>
      </c>
      <c r="Y69" t="s">
        <v>95</v>
      </c>
      <c r="Z69">
        <v>15</v>
      </c>
      <c r="AA69" t="s">
        <v>89</v>
      </c>
      <c r="AB69" t="s">
        <v>89</v>
      </c>
      <c r="AC69" t="s">
        <v>90</v>
      </c>
      <c r="AD69" t="s">
        <v>117</v>
      </c>
      <c r="AE69">
        <v>80</v>
      </c>
      <c r="AF69">
        <v>1200</v>
      </c>
      <c r="AG69">
        <v>10</v>
      </c>
      <c r="AK69" t="s">
        <v>235</v>
      </c>
      <c r="AM69" t="s">
        <v>96</v>
      </c>
      <c r="AN69" t="s">
        <v>93</v>
      </c>
      <c r="AO69" t="s">
        <v>124</v>
      </c>
      <c r="AV69" t="s">
        <v>120</v>
      </c>
      <c r="AW69" t="s">
        <v>236</v>
      </c>
      <c r="AY69" t="s">
        <v>112</v>
      </c>
      <c r="AZ69" s="1">
        <v>46171</v>
      </c>
      <c r="BA69" t="s">
        <v>145</v>
      </c>
      <c r="BB69">
        <v>448</v>
      </c>
      <c r="BF69" t="s">
        <v>100</v>
      </c>
      <c r="BG69">
        <v>19</v>
      </c>
      <c r="BH69" t="s">
        <v>102</v>
      </c>
      <c r="BJ69" t="s">
        <v>94</v>
      </c>
      <c r="BK69" t="s">
        <v>232</v>
      </c>
      <c r="BL69" t="s">
        <v>100</v>
      </c>
      <c r="BP69" t="s">
        <v>147</v>
      </c>
      <c r="BQ69">
        <v>478</v>
      </c>
      <c r="BR69" t="s">
        <v>113</v>
      </c>
      <c r="BS69" t="s">
        <v>127</v>
      </c>
      <c r="BT69" t="s">
        <v>103</v>
      </c>
      <c r="BU69" t="s">
        <v>114</v>
      </c>
      <c r="BV69" t="s">
        <v>237</v>
      </c>
      <c r="BW69" t="s">
        <v>238</v>
      </c>
      <c r="BX69">
        <v>46169</v>
      </c>
      <c r="BZ69" t="s">
        <v>94</v>
      </c>
      <c r="CA69">
        <v>46168</v>
      </c>
      <c r="CB69" s="2">
        <v>46171</v>
      </c>
      <c r="CC69" s="2">
        <v>46189</v>
      </c>
      <c r="CD69">
        <f>+VLOOKUP(C69,[1]Sheet1!$A$1:$AC$452,18,FALSE)</f>
        <v>1976</v>
      </c>
    </row>
    <row r="70" spans="1:82" x14ac:dyDescent="0.3">
      <c r="A70" t="s">
        <v>86</v>
      </c>
      <c r="B70">
        <v>20516</v>
      </c>
      <c r="C70">
        <v>448</v>
      </c>
      <c r="D70" s="1">
        <v>46169</v>
      </c>
      <c r="E70">
        <v>22</v>
      </c>
      <c r="F70">
        <v>5</v>
      </c>
      <c r="G70" s="1">
        <v>46189</v>
      </c>
      <c r="H70" t="s">
        <v>87</v>
      </c>
      <c r="I70" t="s">
        <v>88</v>
      </c>
      <c r="J70" t="s">
        <v>229</v>
      </c>
      <c r="K70">
        <v>19</v>
      </c>
      <c r="L70" t="s">
        <v>230</v>
      </c>
      <c r="M70">
        <v>173</v>
      </c>
      <c r="N70" t="s">
        <v>98</v>
      </c>
      <c r="O70" t="s">
        <v>231</v>
      </c>
      <c r="P70" t="s">
        <v>99</v>
      </c>
      <c r="Q70" t="s">
        <v>110</v>
      </c>
      <c r="R70" t="s">
        <v>232</v>
      </c>
      <c r="T70" t="s">
        <v>240</v>
      </c>
      <c r="U70" t="s">
        <v>240</v>
      </c>
      <c r="V70" t="s">
        <v>100</v>
      </c>
      <c r="W70" t="s">
        <v>142</v>
      </c>
      <c r="X70" t="s">
        <v>143</v>
      </c>
      <c r="Y70" t="s">
        <v>95</v>
      </c>
      <c r="Z70">
        <v>15</v>
      </c>
      <c r="AA70" t="s">
        <v>89</v>
      </c>
      <c r="AB70" t="s">
        <v>89</v>
      </c>
      <c r="AC70" t="s">
        <v>90</v>
      </c>
      <c r="AD70" t="s">
        <v>117</v>
      </c>
      <c r="AE70">
        <v>80</v>
      </c>
      <c r="AF70">
        <v>1200</v>
      </c>
      <c r="AG70">
        <v>10</v>
      </c>
      <c r="AK70" t="s">
        <v>235</v>
      </c>
      <c r="AM70" t="s">
        <v>96</v>
      </c>
      <c r="AN70" t="s">
        <v>93</v>
      </c>
      <c r="AO70" t="s">
        <v>124</v>
      </c>
      <c r="AV70" t="s">
        <v>120</v>
      </c>
      <c r="AW70" t="s">
        <v>236</v>
      </c>
      <c r="AY70" t="s">
        <v>112</v>
      </c>
      <c r="AZ70" s="1">
        <v>46171</v>
      </c>
      <c r="BA70" t="s">
        <v>145</v>
      </c>
      <c r="BB70">
        <v>448</v>
      </c>
      <c r="BF70" t="s">
        <v>100</v>
      </c>
      <c r="BG70">
        <v>19</v>
      </c>
      <c r="BH70" t="s">
        <v>102</v>
      </c>
      <c r="BJ70" t="s">
        <v>94</v>
      </c>
      <c r="BK70" t="s">
        <v>232</v>
      </c>
      <c r="BL70" t="s">
        <v>100</v>
      </c>
      <c r="BP70" t="s">
        <v>147</v>
      </c>
      <c r="BQ70">
        <v>478</v>
      </c>
      <c r="BR70" t="s">
        <v>113</v>
      </c>
      <c r="BS70" t="s">
        <v>127</v>
      </c>
      <c r="BT70" t="s">
        <v>103</v>
      </c>
      <c r="BU70" t="s">
        <v>114</v>
      </c>
      <c r="BV70" t="s">
        <v>237</v>
      </c>
      <c r="BW70" t="s">
        <v>238</v>
      </c>
      <c r="BX70">
        <v>46169</v>
      </c>
      <c r="BZ70" t="s">
        <v>94</v>
      </c>
      <c r="CA70">
        <v>46168</v>
      </c>
      <c r="CB70" s="2">
        <v>46171</v>
      </c>
      <c r="CC70" s="2">
        <v>46189</v>
      </c>
      <c r="CD70">
        <f>+VLOOKUP(C70,[1]Sheet1!$A$1:$AC$452,18,FALSE)</f>
        <v>1976</v>
      </c>
    </row>
    <row r="71" spans="1:82" x14ac:dyDescent="0.3">
      <c r="A71" t="s">
        <v>86</v>
      </c>
      <c r="B71">
        <v>20517</v>
      </c>
      <c r="C71">
        <v>448</v>
      </c>
      <c r="D71" s="1">
        <v>46169</v>
      </c>
      <c r="E71">
        <v>22</v>
      </c>
      <c r="F71">
        <v>5</v>
      </c>
      <c r="G71" s="1">
        <v>46189</v>
      </c>
      <c r="H71" t="s">
        <v>87</v>
      </c>
      <c r="I71" t="s">
        <v>88</v>
      </c>
      <c r="J71" t="s">
        <v>229</v>
      </c>
      <c r="K71">
        <v>19</v>
      </c>
      <c r="L71" t="s">
        <v>230</v>
      </c>
      <c r="M71">
        <v>173</v>
      </c>
      <c r="N71" t="s">
        <v>98</v>
      </c>
      <c r="O71" t="s">
        <v>231</v>
      </c>
      <c r="P71" t="s">
        <v>99</v>
      </c>
      <c r="Q71" t="s">
        <v>110</v>
      </c>
      <c r="R71" t="s">
        <v>232</v>
      </c>
      <c r="T71" t="s">
        <v>241</v>
      </c>
      <c r="U71" t="s">
        <v>241</v>
      </c>
      <c r="V71" t="s">
        <v>100</v>
      </c>
      <c r="W71" t="s">
        <v>142</v>
      </c>
      <c r="X71" t="s">
        <v>143</v>
      </c>
      <c r="Y71" t="s">
        <v>95</v>
      </c>
      <c r="Z71">
        <v>15</v>
      </c>
      <c r="AA71" t="s">
        <v>89</v>
      </c>
      <c r="AB71" t="s">
        <v>89</v>
      </c>
      <c r="AC71" t="s">
        <v>90</v>
      </c>
      <c r="AD71" t="s">
        <v>117</v>
      </c>
      <c r="AE71">
        <v>80</v>
      </c>
      <c r="AF71">
        <v>1200</v>
      </c>
      <c r="AG71">
        <v>10</v>
      </c>
      <c r="AK71" t="s">
        <v>235</v>
      </c>
      <c r="AM71" t="s">
        <v>96</v>
      </c>
      <c r="AN71" t="s">
        <v>93</v>
      </c>
      <c r="AO71" t="s">
        <v>124</v>
      </c>
      <c r="AV71" t="s">
        <v>120</v>
      </c>
      <c r="AW71" t="s">
        <v>236</v>
      </c>
      <c r="AY71" t="s">
        <v>112</v>
      </c>
      <c r="AZ71" s="1">
        <v>46171</v>
      </c>
      <c r="BA71" t="s">
        <v>145</v>
      </c>
      <c r="BB71">
        <v>448</v>
      </c>
      <c r="BF71" t="s">
        <v>100</v>
      </c>
      <c r="BG71">
        <v>19</v>
      </c>
      <c r="BH71" t="s">
        <v>102</v>
      </c>
      <c r="BJ71" t="s">
        <v>94</v>
      </c>
      <c r="BK71" t="s">
        <v>232</v>
      </c>
      <c r="BL71" t="s">
        <v>100</v>
      </c>
      <c r="BP71" t="s">
        <v>147</v>
      </c>
      <c r="BQ71">
        <v>478</v>
      </c>
      <c r="BR71" t="s">
        <v>113</v>
      </c>
      <c r="BS71" t="s">
        <v>127</v>
      </c>
      <c r="BT71" t="s">
        <v>103</v>
      </c>
      <c r="BU71" t="s">
        <v>114</v>
      </c>
      <c r="BV71" t="s">
        <v>237</v>
      </c>
      <c r="BW71" t="s">
        <v>238</v>
      </c>
      <c r="BX71">
        <v>46169</v>
      </c>
      <c r="BZ71" t="s">
        <v>94</v>
      </c>
      <c r="CA71">
        <v>46168</v>
      </c>
      <c r="CB71" s="2">
        <v>46171</v>
      </c>
      <c r="CC71" s="2">
        <v>46189</v>
      </c>
      <c r="CD71">
        <f>+VLOOKUP(C71,[1]Sheet1!$A$1:$AC$452,18,FALSE)</f>
        <v>1976</v>
      </c>
    </row>
    <row r="72" spans="1:82" x14ac:dyDescent="0.3">
      <c r="A72" t="s">
        <v>86</v>
      </c>
      <c r="B72">
        <v>20518</v>
      </c>
      <c r="C72">
        <v>448</v>
      </c>
      <c r="D72" s="1">
        <v>46169</v>
      </c>
      <c r="E72">
        <v>22</v>
      </c>
      <c r="F72">
        <v>5</v>
      </c>
      <c r="G72" s="1">
        <v>46189</v>
      </c>
      <c r="H72" t="s">
        <v>87</v>
      </c>
      <c r="I72" t="s">
        <v>88</v>
      </c>
      <c r="J72" t="s">
        <v>229</v>
      </c>
      <c r="K72">
        <v>19</v>
      </c>
      <c r="L72" t="s">
        <v>230</v>
      </c>
      <c r="M72">
        <v>173</v>
      </c>
      <c r="N72" t="s">
        <v>98</v>
      </c>
      <c r="O72" t="s">
        <v>231</v>
      </c>
      <c r="P72" t="s">
        <v>99</v>
      </c>
      <c r="Q72" t="s">
        <v>110</v>
      </c>
      <c r="R72" t="s">
        <v>232</v>
      </c>
      <c r="T72" t="s">
        <v>242</v>
      </c>
      <c r="U72" t="s">
        <v>242</v>
      </c>
      <c r="V72" t="s">
        <v>100</v>
      </c>
      <c r="W72" t="s">
        <v>142</v>
      </c>
      <c r="X72" t="s">
        <v>143</v>
      </c>
      <c r="Y72" t="s">
        <v>95</v>
      </c>
      <c r="Z72">
        <v>15</v>
      </c>
      <c r="AA72" t="s">
        <v>89</v>
      </c>
      <c r="AB72" t="s">
        <v>89</v>
      </c>
      <c r="AC72" t="s">
        <v>90</v>
      </c>
      <c r="AD72" t="s">
        <v>119</v>
      </c>
      <c r="AE72">
        <v>17</v>
      </c>
      <c r="AF72">
        <v>255</v>
      </c>
      <c r="AG72">
        <v>10</v>
      </c>
      <c r="AK72" t="s">
        <v>235</v>
      </c>
      <c r="AM72" t="s">
        <v>96</v>
      </c>
      <c r="AN72" t="s">
        <v>93</v>
      </c>
      <c r="AO72" t="s">
        <v>124</v>
      </c>
      <c r="AV72" t="s">
        <v>120</v>
      </c>
      <c r="AW72" t="s">
        <v>236</v>
      </c>
      <c r="AY72" t="s">
        <v>112</v>
      </c>
      <c r="AZ72" s="1">
        <v>46171</v>
      </c>
      <c r="BA72" t="s">
        <v>145</v>
      </c>
      <c r="BB72">
        <v>448</v>
      </c>
      <c r="BF72" t="s">
        <v>100</v>
      </c>
      <c r="BG72">
        <v>19</v>
      </c>
      <c r="BH72" t="s">
        <v>102</v>
      </c>
      <c r="BJ72" t="s">
        <v>94</v>
      </c>
      <c r="BK72" t="s">
        <v>232</v>
      </c>
      <c r="BL72" t="s">
        <v>100</v>
      </c>
      <c r="BP72" t="s">
        <v>147</v>
      </c>
      <c r="BQ72">
        <v>478</v>
      </c>
      <c r="BR72" t="s">
        <v>113</v>
      </c>
      <c r="BS72" t="s">
        <v>127</v>
      </c>
      <c r="BT72" t="s">
        <v>103</v>
      </c>
      <c r="BU72" t="s">
        <v>114</v>
      </c>
      <c r="BV72" t="s">
        <v>237</v>
      </c>
      <c r="BW72" t="s">
        <v>238</v>
      </c>
      <c r="BX72">
        <v>46169</v>
      </c>
      <c r="BZ72" t="s">
        <v>94</v>
      </c>
      <c r="CA72">
        <v>46168</v>
      </c>
      <c r="CB72" s="2">
        <v>46171</v>
      </c>
      <c r="CC72" s="2">
        <v>46189</v>
      </c>
      <c r="CD72">
        <f>+VLOOKUP(C72,[1]Sheet1!$A$1:$AC$452,18,FALSE)</f>
        <v>1976</v>
      </c>
    </row>
    <row r="73" spans="1:82" x14ac:dyDescent="0.3">
      <c r="A73" t="s">
        <v>86</v>
      </c>
      <c r="B73">
        <v>20519</v>
      </c>
      <c r="C73">
        <v>448</v>
      </c>
      <c r="D73" s="1">
        <v>46169</v>
      </c>
      <c r="E73">
        <v>22</v>
      </c>
      <c r="F73">
        <v>5</v>
      </c>
      <c r="G73" s="1">
        <v>46189</v>
      </c>
      <c r="H73" t="s">
        <v>87</v>
      </c>
      <c r="I73" t="s">
        <v>88</v>
      </c>
      <c r="J73" t="s">
        <v>229</v>
      </c>
      <c r="K73">
        <v>19</v>
      </c>
      <c r="L73" t="s">
        <v>230</v>
      </c>
      <c r="M73">
        <v>173</v>
      </c>
      <c r="N73" t="s">
        <v>98</v>
      </c>
      <c r="O73" t="s">
        <v>231</v>
      </c>
      <c r="P73" t="s">
        <v>99</v>
      </c>
      <c r="Q73" t="s">
        <v>110</v>
      </c>
      <c r="R73" t="s">
        <v>232</v>
      </c>
      <c r="T73" t="s">
        <v>242</v>
      </c>
      <c r="U73" t="s">
        <v>242</v>
      </c>
      <c r="V73" t="s">
        <v>100</v>
      </c>
      <c r="W73" t="s">
        <v>142</v>
      </c>
      <c r="X73" t="s">
        <v>143</v>
      </c>
      <c r="Y73" t="s">
        <v>95</v>
      </c>
      <c r="Z73">
        <v>15</v>
      </c>
      <c r="AA73" t="s">
        <v>89</v>
      </c>
      <c r="AB73" t="s">
        <v>89</v>
      </c>
      <c r="AC73" t="s">
        <v>90</v>
      </c>
      <c r="AD73" t="s">
        <v>119</v>
      </c>
      <c r="AE73">
        <v>63</v>
      </c>
      <c r="AF73">
        <v>945</v>
      </c>
      <c r="AG73">
        <v>10</v>
      </c>
      <c r="AK73" t="s">
        <v>235</v>
      </c>
      <c r="AM73" t="s">
        <v>96</v>
      </c>
      <c r="AN73" t="s">
        <v>93</v>
      </c>
      <c r="AO73" t="s">
        <v>124</v>
      </c>
      <c r="AV73" t="s">
        <v>120</v>
      </c>
      <c r="AW73" t="s">
        <v>236</v>
      </c>
      <c r="AY73" t="s">
        <v>112</v>
      </c>
      <c r="AZ73" s="1">
        <v>46171</v>
      </c>
      <c r="BA73" t="s">
        <v>145</v>
      </c>
      <c r="BB73">
        <v>448</v>
      </c>
      <c r="BF73" t="s">
        <v>100</v>
      </c>
      <c r="BG73">
        <v>19</v>
      </c>
      <c r="BH73" t="s">
        <v>102</v>
      </c>
      <c r="BJ73" t="s">
        <v>94</v>
      </c>
      <c r="BK73" t="s">
        <v>232</v>
      </c>
      <c r="BL73" t="s">
        <v>100</v>
      </c>
      <c r="BP73" t="s">
        <v>147</v>
      </c>
      <c r="BQ73">
        <v>478</v>
      </c>
      <c r="BR73" t="s">
        <v>113</v>
      </c>
      <c r="BS73" t="s">
        <v>127</v>
      </c>
      <c r="BT73" t="s">
        <v>103</v>
      </c>
      <c r="BU73" t="s">
        <v>114</v>
      </c>
      <c r="BV73" t="s">
        <v>237</v>
      </c>
      <c r="BW73" t="s">
        <v>238</v>
      </c>
      <c r="BX73">
        <v>46169</v>
      </c>
      <c r="BZ73" t="s">
        <v>94</v>
      </c>
      <c r="CA73">
        <v>46168</v>
      </c>
      <c r="CB73" s="2">
        <v>46171</v>
      </c>
      <c r="CC73" s="2">
        <v>46189</v>
      </c>
      <c r="CD73">
        <f>+VLOOKUP(C73,[1]Sheet1!$A$1:$AC$452,18,FALSE)</f>
        <v>1976</v>
      </c>
    </row>
    <row r="74" spans="1:82" x14ac:dyDescent="0.3">
      <c r="A74" t="s">
        <v>86</v>
      </c>
      <c r="B74">
        <v>20520</v>
      </c>
      <c r="C74">
        <v>448</v>
      </c>
      <c r="D74" s="1">
        <v>46169</v>
      </c>
      <c r="E74">
        <v>22</v>
      </c>
      <c r="F74">
        <v>5</v>
      </c>
      <c r="G74" s="1">
        <v>46189</v>
      </c>
      <c r="H74" t="s">
        <v>87</v>
      </c>
      <c r="I74" t="s">
        <v>88</v>
      </c>
      <c r="J74" t="s">
        <v>229</v>
      </c>
      <c r="K74">
        <v>19</v>
      </c>
      <c r="L74" t="s">
        <v>230</v>
      </c>
      <c r="M74">
        <v>173</v>
      </c>
      <c r="N74" t="s">
        <v>98</v>
      </c>
      <c r="O74" t="s">
        <v>231</v>
      </c>
      <c r="P74" t="s">
        <v>99</v>
      </c>
      <c r="Q74" t="s">
        <v>110</v>
      </c>
      <c r="R74" t="s">
        <v>232</v>
      </c>
      <c r="T74" t="s">
        <v>243</v>
      </c>
      <c r="U74" t="s">
        <v>243</v>
      </c>
      <c r="V74" t="s">
        <v>100</v>
      </c>
      <c r="W74" t="s">
        <v>142</v>
      </c>
      <c r="X74" t="s">
        <v>143</v>
      </c>
      <c r="Y74" t="s">
        <v>95</v>
      </c>
      <c r="Z74">
        <v>15</v>
      </c>
      <c r="AA74" t="s">
        <v>89</v>
      </c>
      <c r="AB74" t="s">
        <v>89</v>
      </c>
      <c r="AC74" t="s">
        <v>90</v>
      </c>
      <c r="AD74" t="s">
        <v>111</v>
      </c>
      <c r="AE74">
        <v>80</v>
      </c>
      <c r="AF74">
        <v>1200</v>
      </c>
      <c r="AG74">
        <v>10</v>
      </c>
      <c r="AK74" t="s">
        <v>235</v>
      </c>
      <c r="AM74" t="s">
        <v>96</v>
      </c>
      <c r="AN74" t="s">
        <v>93</v>
      </c>
      <c r="AO74" t="s">
        <v>124</v>
      </c>
      <c r="AV74" t="s">
        <v>120</v>
      </c>
      <c r="AW74" t="s">
        <v>236</v>
      </c>
      <c r="AY74" t="s">
        <v>112</v>
      </c>
      <c r="AZ74" s="1">
        <v>46171</v>
      </c>
      <c r="BA74" t="s">
        <v>145</v>
      </c>
      <c r="BB74">
        <v>448</v>
      </c>
      <c r="BF74" t="s">
        <v>100</v>
      </c>
      <c r="BG74">
        <v>19</v>
      </c>
      <c r="BH74" t="s">
        <v>102</v>
      </c>
      <c r="BJ74" t="s">
        <v>94</v>
      </c>
      <c r="BK74" t="s">
        <v>232</v>
      </c>
      <c r="BL74" t="s">
        <v>100</v>
      </c>
      <c r="BP74" t="s">
        <v>147</v>
      </c>
      <c r="BQ74">
        <v>478</v>
      </c>
      <c r="BR74" t="s">
        <v>113</v>
      </c>
      <c r="BS74" t="s">
        <v>127</v>
      </c>
      <c r="BT74" t="s">
        <v>103</v>
      </c>
      <c r="BU74" t="s">
        <v>114</v>
      </c>
      <c r="BV74" t="s">
        <v>237</v>
      </c>
      <c r="BW74" t="s">
        <v>238</v>
      </c>
      <c r="BX74">
        <v>46169</v>
      </c>
      <c r="BZ74" t="s">
        <v>94</v>
      </c>
      <c r="CA74">
        <v>46168</v>
      </c>
      <c r="CB74" s="2">
        <v>46171</v>
      </c>
      <c r="CC74" s="2">
        <v>46189</v>
      </c>
      <c r="CD74">
        <f>+VLOOKUP(C74,[1]Sheet1!$A$1:$AC$452,18,FALSE)</f>
        <v>1976</v>
      </c>
    </row>
    <row r="75" spans="1:82" x14ac:dyDescent="0.3">
      <c r="A75" t="s">
        <v>86</v>
      </c>
      <c r="B75">
        <v>20521</v>
      </c>
      <c r="C75">
        <v>448</v>
      </c>
      <c r="D75" s="1">
        <v>46169</v>
      </c>
      <c r="E75">
        <v>22</v>
      </c>
      <c r="F75">
        <v>5</v>
      </c>
      <c r="G75" s="1">
        <v>46189</v>
      </c>
      <c r="H75" t="s">
        <v>87</v>
      </c>
      <c r="I75" t="s">
        <v>88</v>
      </c>
      <c r="J75" t="s">
        <v>229</v>
      </c>
      <c r="K75">
        <v>19</v>
      </c>
      <c r="L75" t="s">
        <v>230</v>
      </c>
      <c r="M75">
        <v>173</v>
      </c>
      <c r="N75" t="s">
        <v>98</v>
      </c>
      <c r="O75" t="s">
        <v>231</v>
      </c>
      <c r="P75" t="s">
        <v>99</v>
      </c>
      <c r="Q75" t="s">
        <v>110</v>
      </c>
      <c r="R75" t="s">
        <v>232</v>
      </c>
      <c r="T75" t="s">
        <v>244</v>
      </c>
      <c r="U75" t="s">
        <v>244</v>
      </c>
      <c r="V75" t="s">
        <v>100</v>
      </c>
      <c r="W75" t="s">
        <v>142</v>
      </c>
      <c r="X75" t="s">
        <v>143</v>
      </c>
      <c r="Y75" t="s">
        <v>95</v>
      </c>
      <c r="Z75">
        <v>15</v>
      </c>
      <c r="AA75" t="s">
        <v>89</v>
      </c>
      <c r="AB75" t="s">
        <v>89</v>
      </c>
      <c r="AC75" t="s">
        <v>90</v>
      </c>
      <c r="AD75" t="s">
        <v>117</v>
      </c>
      <c r="AE75">
        <v>80</v>
      </c>
      <c r="AF75">
        <v>1200</v>
      </c>
      <c r="AG75">
        <v>10</v>
      </c>
      <c r="AK75" t="s">
        <v>235</v>
      </c>
      <c r="AM75" t="s">
        <v>96</v>
      </c>
      <c r="AN75" t="s">
        <v>93</v>
      </c>
      <c r="AO75" t="s">
        <v>124</v>
      </c>
      <c r="AV75" t="s">
        <v>120</v>
      </c>
      <c r="AW75" t="s">
        <v>236</v>
      </c>
      <c r="AY75" t="s">
        <v>112</v>
      </c>
      <c r="AZ75" s="1">
        <v>46171</v>
      </c>
      <c r="BA75" t="s">
        <v>145</v>
      </c>
      <c r="BB75">
        <v>448</v>
      </c>
      <c r="BF75" t="s">
        <v>100</v>
      </c>
      <c r="BG75">
        <v>19</v>
      </c>
      <c r="BH75" t="s">
        <v>102</v>
      </c>
      <c r="BJ75" t="s">
        <v>94</v>
      </c>
      <c r="BK75" t="s">
        <v>232</v>
      </c>
      <c r="BL75" t="s">
        <v>100</v>
      </c>
      <c r="BP75" t="s">
        <v>147</v>
      </c>
      <c r="BQ75">
        <v>478</v>
      </c>
      <c r="BR75" t="s">
        <v>113</v>
      </c>
      <c r="BS75" t="s">
        <v>127</v>
      </c>
      <c r="BT75" t="s">
        <v>103</v>
      </c>
      <c r="BU75" t="s">
        <v>114</v>
      </c>
      <c r="BV75" t="s">
        <v>237</v>
      </c>
      <c r="BW75" t="s">
        <v>238</v>
      </c>
      <c r="BX75">
        <v>46169</v>
      </c>
      <c r="BZ75" t="s">
        <v>94</v>
      </c>
      <c r="CA75">
        <v>46168</v>
      </c>
      <c r="CB75" s="2">
        <v>46171</v>
      </c>
      <c r="CC75" s="2">
        <v>46189</v>
      </c>
      <c r="CD75">
        <f>+VLOOKUP(C75,[1]Sheet1!$A$1:$AC$452,18,FALSE)</f>
        <v>1976</v>
      </c>
    </row>
    <row r="76" spans="1:82" x14ac:dyDescent="0.3">
      <c r="A76" t="s">
        <v>86</v>
      </c>
      <c r="B76">
        <v>20522</v>
      </c>
      <c r="C76">
        <v>448</v>
      </c>
      <c r="D76" s="1">
        <v>46169</v>
      </c>
      <c r="E76">
        <v>22</v>
      </c>
      <c r="F76">
        <v>5</v>
      </c>
      <c r="G76" s="1">
        <v>46189</v>
      </c>
      <c r="H76" t="s">
        <v>87</v>
      </c>
      <c r="I76" t="s">
        <v>88</v>
      </c>
      <c r="J76" t="s">
        <v>229</v>
      </c>
      <c r="K76">
        <v>19</v>
      </c>
      <c r="L76" t="s">
        <v>230</v>
      </c>
      <c r="M76">
        <v>173</v>
      </c>
      <c r="N76" t="s">
        <v>98</v>
      </c>
      <c r="O76" t="s">
        <v>231</v>
      </c>
      <c r="P76" t="s">
        <v>99</v>
      </c>
      <c r="Q76" t="s">
        <v>110</v>
      </c>
      <c r="R76" t="s">
        <v>232</v>
      </c>
      <c r="T76" t="s">
        <v>245</v>
      </c>
      <c r="U76" t="s">
        <v>245</v>
      </c>
      <c r="V76" t="s">
        <v>100</v>
      </c>
      <c r="W76" t="s">
        <v>142</v>
      </c>
      <c r="X76" t="s">
        <v>143</v>
      </c>
      <c r="Y76" t="s">
        <v>95</v>
      </c>
      <c r="Z76">
        <v>15</v>
      </c>
      <c r="AA76" t="s">
        <v>89</v>
      </c>
      <c r="AB76" t="s">
        <v>89</v>
      </c>
      <c r="AC76" t="s">
        <v>90</v>
      </c>
      <c r="AD76" t="s">
        <v>118</v>
      </c>
      <c r="AE76">
        <v>73</v>
      </c>
      <c r="AF76">
        <v>1095</v>
      </c>
      <c r="AG76">
        <v>10</v>
      </c>
      <c r="AK76" t="s">
        <v>235</v>
      </c>
      <c r="AM76" t="s">
        <v>96</v>
      </c>
      <c r="AN76" t="s">
        <v>93</v>
      </c>
      <c r="AO76" t="s">
        <v>124</v>
      </c>
      <c r="AV76" t="s">
        <v>120</v>
      </c>
      <c r="AW76" t="s">
        <v>236</v>
      </c>
      <c r="AY76" t="s">
        <v>112</v>
      </c>
      <c r="AZ76" s="1">
        <v>46171</v>
      </c>
      <c r="BA76" t="s">
        <v>145</v>
      </c>
      <c r="BB76">
        <v>448</v>
      </c>
      <c r="BF76" t="s">
        <v>100</v>
      </c>
      <c r="BG76">
        <v>19</v>
      </c>
      <c r="BH76" t="s">
        <v>102</v>
      </c>
      <c r="BJ76" t="s">
        <v>94</v>
      </c>
      <c r="BK76" t="s">
        <v>232</v>
      </c>
      <c r="BL76" t="s">
        <v>100</v>
      </c>
      <c r="BP76" t="s">
        <v>147</v>
      </c>
      <c r="BQ76">
        <v>478</v>
      </c>
      <c r="BR76" t="s">
        <v>113</v>
      </c>
      <c r="BS76" t="s">
        <v>127</v>
      </c>
      <c r="BT76" t="s">
        <v>103</v>
      </c>
      <c r="BU76" t="s">
        <v>114</v>
      </c>
      <c r="BV76" t="s">
        <v>237</v>
      </c>
      <c r="BW76" t="s">
        <v>238</v>
      </c>
      <c r="BX76">
        <v>46169</v>
      </c>
      <c r="BZ76" t="s">
        <v>94</v>
      </c>
      <c r="CA76">
        <v>46168</v>
      </c>
      <c r="CB76" s="2">
        <v>46171</v>
      </c>
      <c r="CC76" s="2">
        <v>46189</v>
      </c>
      <c r="CD76">
        <f>+VLOOKUP(C76,[1]Sheet1!$A$1:$AC$452,18,FALSE)</f>
        <v>1976</v>
      </c>
    </row>
    <row r="77" spans="1:82" x14ac:dyDescent="0.3">
      <c r="A77" t="s">
        <v>86</v>
      </c>
      <c r="B77">
        <v>20523</v>
      </c>
      <c r="C77">
        <v>448</v>
      </c>
      <c r="D77" s="1">
        <v>46169</v>
      </c>
      <c r="E77">
        <v>22</v>
      </c>
      <c r="F77">
        <v>5</v>
      </c>
      <c r="G77" s="1">
        <v>46189</v>
      </c>
      <c r="H77" t="s">
        <v>87</v>
      </c>
      <c r="I77" t="s">
        <v>88</v>
      </c>
      <c r="J77" t="s">
        <v>229</v>
      </c>
      <c r="K77">
        <v>19</v>
      </c>
      <c r="L77" t="s">
        <v>230</v>
      </c>
      <c r="M77">
        <v>173</v>
      </c>
      <c r="N77" t="s">
        <v>98</v>
      </c>
      <c r="O77" t="s">
        <v>231</v>
      </c>
      <c r="P77" t="s">
        <v>99</v>
      </c>
      <c r="Q77" t="s">
        <v>110</v>
      </c>
      <c r="R77" t="s">
        <v>232</v>
      </c>
      <c r="T77" t="s">
        <v>245</v>
      </c>
      <c r="U77" t="s">
        <v>245</v>
      </c>
      <c r="V77" t="s">
        <v>100</v>
      </c>
      <c r="W77" t="s">
        <v>142</v>
      </c>
      <c r="X77" t="s">
        <v>143</v>
      </c>
      <c r="Y77" t="s">
        <v>95</v>
      </c>
      <c r="Z77">
        <v>15</v>
      </c>
      <c r="AA77" t="s">
        <v>89</v>
      </c>
      <c r="AB77" t="s">
        <v>89</v>
      </c>
      <c r="AC77" t="s">
        <v>90</v>
      </c>
      <c r="AD77" t="s">
        <v>118</v>
      </c>
      <c r="AE77">
        <v>7</v>
      </c>
      <c r="AF77">
        <v>105</v>
      </c>
      <c r="AG77">
        <v>10</v>
      </c>
      <c r="AK77" t="s">
        <v>235</v>
      </c>
      <c r="AM77" t="s">
        <v>96</v>
      </c>
      <c r="AN77" t="s">
        <v>93</v>
      </c>
      <c r="AO77" t="s">
        <v>124</v>
      </c>
      <c r="AV77" t="s">
        <v>120</v>
      </c>
      <c r="AW77" t="s">
        <v>236</v>
      </c>
      <c r="AY77" t="s">
        <v>112</v>
      </c>
      <c r="AZ77" s="1">
        <v>46171</v>
      </c>
      <c r="BA77" t="s">
        <v>145</v>
      </c>
      <c r="BB77">
        <v>448</v>
      </c>
      <c r="BF77" t="s">
        <v>100</v>
      </c>
      <c r="BG77">
        <v>19</v>
      </c>
      <c r="BH77" t="s">
        <v>102</v>
      </c>
      <c r="BJ77" t="s">
        <v>94</v>
      </c>
      <c r="BK77" t="s">
        <v>232</v>
      </c>
      <c r="BL77" t="s">
        <v>100</v>
      </c>
      <c r="BP77" t="s">
        <v>147</v>
      </c>
      <c r="BQ77">
        <v>478</v>
      </c>
      <c r="BR77" t="s">
        <v>113</v>
      </c>
      <c r="BS77" t="s">
        <v>127</v>
      </c>
      <c r="BT77" t="s">
        <v>103</v>
      </c>
      <c r="BU77" t="s">
        <v>114</v>
      </c>
      <c r="BV77" t="s">
        <v>237</v>
      </c>
      <c r="BW77" t="s">
        <v>238</v>
      </c>
      <c r="BX77">
        <v>46169</v>
      </c>
      <c r="BZ77" t="s">
        <v>94</v>
      </c>
      <c r="CA77">
        <v>46168</v>
      </c>
      <c r="CB77" s="2">
        <v>46171</v>
      </c>
      <c r="CC77" s="2">
        <v>46189</v>
      </c>
      <c r="CD77">
        <f>+VLOOKUP(C77,[1]Sheet1!$A$1:$AC$452,18,FALSE)</f>
        <v>1976</v>
      </c>
    </row>
    <row r="78" spans="1:82" x14ac:dyDescent="0.3">
      <c r="A78" t="s">
        <v>86</v>
      </c>
      <c r="B78">
        <v>20524</v>
      </c>
      <c r="C78">
        <v>448</v>
      </c>
      <c r="D78" s="1">
        <v>46169</v>
      </c>
      <c r="E78">
        <v>22</v>
      </c>
      <c r="F78">
        <v>5</v>
      </c>
      <c r="G78" s="1">
        <v>46189</v>
      </c>
      <c r="H78" t="s">
        <v>87</v>
      </c>
      <c r="I78" t="s">
        <v>88</v>
      </c>
      <c r="J78" t="s">
        <v>229</v>
      </c>
      <c r="K78">
        <v>19</v>
      </c>
      <c r="L78" t="s">
        <v>230</v>
      </c>
      <c r="M78">
        <v>173</v>
      </c>
      <c r="N78" t="s">
        <v>98</v>
      </c>
      <c r="O78" t="s">
        <v>231</v>
      </c>
      <c r="P78" t="s">
        <v>99</v>
      </c>
      <c r="Q78" t="s">
        <v>110</v>
      </c>
      <c r="R78" t="s">
        <v>232</v>
      </c>
      <c r="T78" t="s">
        <v>246</v>
      </c>
      <c r="U78" t="s">
        <v>246</v>
      </c>
      <c r="V78" t="s">
        <v>100</v>
      </c>
      <c r="W78" t="s">
        <v>142</v>
      </c>
      <c r="X78" t="s">
        <v>143</v>
      </c>
      <c r="Y78" t="s">
        <v>95</v>
      </c>
      <c r="Z78">
        <v>15</v>
      </c>
      <c r="AA78" t="s">
        <v>89</v>
      </c>
      <c r="AB78" t="s">
        <v>89</v>
      </c>
      <c r="AC78" t="s">
        <v>90</v>
      </c>
      <c r="AD78" t="s">
        <v>119</v>
      </c>
      <c r="AE78">
        <v>80</v>
      </c>
      <c r="AF78">
        <v>1200</v>
      </c>
      <c r="AG78">
        <v>10</v>
      </c>
      <c r="AK78" t="s">
        <v>235</v>
      </c>
      <c r="AM78" t="s">
        <v>96</v>
      </c>
      <c r="AN78" t="s">
        <v>93</v>
      </c>
      <c r="AO78" t="s">
        <v>124</v>
      </c>
      <c r="AV78" t="s">
        <v>120</v>
      </c>
      <c r="AW78" t="s">
        <v>236</v>
      </c>
      <c r="AY78" t="s">
        <v>112</v>
      </c>
      <c r="AZ78" s="1">
        <v>46171</v>
      </c>
      <c r="BA78" t="s">
        <v>145</v>
      </c>
      <c r="BB78">
        <v>448</v>
      </c>
      <c r="BF78" t="s">
        <v>100</v>
      </c>
      <c r="BG78">
        <v>19</v>
      </c>
      <c r="BH78" t="s">
        <v>102</v>
      </c>
      <c r="BJ78" t="s">
        <v>94</v>
      </c>
      <c r="BK78" t="s">
        <v>232</v>
      </c>
      <c r="BL78" t="s">
        <v>100</v>
      </c>
      <c r="BP78" t="s">
        <v>147</v>
      </c>
      <c r="BQ78">
        <v>478</v>
      </c>
      <c r="BR78" t="s">
        <v>113</v>
      </c>
      <c r="BS78" t="s">
        <v>127</v>
      </c>
      <c r="BT78" t="s">
        <v>103</v>
      </c>
      <c r="BU78" t="s">
        <v>114</v>
      </c>
      <c r="BV78" t="s">
        <v>237</v>
      </c>
      <c r="BW78" t="s">
        <v>238</v>
      </c>
      <c r="BX78">
        <v>46169</v>
      </c>
      <c r="BZ78" t="s">
        <v>94</v>
      </c>
      <c r="CA78">
        <v>46168</v>
      </c>
      <c r="CB78" s="2">
        <v>46171</v>
      </c>
      <c r="CC78" s="2">
        <v>46189</v>
      </c>
      <c r="CD78">
        <f>+VLOOKUP(C78,[1]Sheet1!$A$1:$AC$452,18,FALSE)</f>
        <v>1976</v>
      </c>
    </row>
    <row r="79" spans="1:82" x14ac:dyDescent="0.3">
      <c r="A79" t="s">
        <v>86</v>
      </c>
      <c r="B79">
        <v>20525</v>
      </c>
      <c r="C79">
        <v>448</v>
      </c>
      <c r="D79" s="1">
        <v>46169</v>
      </c>
      <c r="E79">
        <v>22</v>
      </c>
      <c r="F79">
        <v>5</v>
      </c>
      <c r="G79" s="1">
        <v>46189</v>
      </c>
      <c r="H79" t="s">
        <v>87</v>
      </c>
      <c r="I79" t="s">
        <v>88</v>
      </c>
      <c r="J79" t="s">
        <v>229</v>
      </c>
      <c r="K79">
        <v>19</v>
      </c>
      <c r="L79" t="s">
        <v>230</v>
      </c>
      <c r="M79">
        <v>173</v>
      </c>
      <c r="N79" t="s">
        <v>98</v>
      </c>
      <c r="O79" t="s">
        <v>231</v>
      </c>
      <c r="P79" t="s">
        <v>99</v>
      </c>
      <c r="Q79" t="s">
        <v>110</v>
      </c>
      <c r="R79" t="s">
        <v>232</v>
      </c>
      <c r="T79" t="s">
        <v>247</v>
      </c>
      <c r="U79" t="s">
        <v>247</v>
      </c>
      <c r="V79" t="s">
        <v>100</v>
      </c>
      <c r="W79" t="s">
        <v>142</v>
      </c>
      <c r="X79" t="s">
        <v>248</v>
      </c>
      <c r="Y79" t="s">
        <v>249</v>
      </c>
      <c r="Z79">
        <v>15</v>
      </c>
      <c r="AA79" t="s">
        <v>89</v>
      </c>
      <c r="AB79" t="s">
        <v>89</v>
      </c>
      <c r="AC79" t="s">
        <v>90</v>
      </c>
      <c r="AD79" t="s">
        <v>109</v>
      </c>
      <c r="AE79">
        <v>60</v>
      </c>
      <c r="AF79">
        <v>900</v>
      </c>
      <c r="AG79">
        <v>10</v>
      </c>
      <c r="AK79" t="s">
        <v>235</v>
      </c>
      <c r="AM79" t="s">
        <v>96</v>
      </c>
      <c r="AN79" t="s">
        <v>93</v>
      </c>
      <c r="AO79" t="s">
        <v>124</v>
      </c>
      <c r="AV79" t="s">
        <v>120</v>
      </c>
      <c r="AW79" t="s">
        <v>236</v>
      </c>
      <c r="AY79" t="s">
        <v>112</v>
      </c>
      <c r="AZ79" s="1">
        <v>46171</v>
      </c>
      <c r="BA79" t="s">
        <v>145</v>
      </c>
      <c r="BB79">
        <v>448</v>
      </c>
      <c r="BF79" t="s">
        <v>100</v>
      </c>
      <c r="BG79">
        <v>19</v>
      </c>
      <c r="BH79" t="s">
        <v>102</v>
      </c>
      <c r="BJ79" t="s">
        <v>94</v>
      </c>
      <c r="BK79" t="s">
        <v>232</v>
      </c>
      <c r="BL79" t="s">
        <v>100</v>
      </c>
      <c r="BP79" t="s">
        <v>147</v>
      </c>
      <c r="BQ79">
        <v>478</v>
      </c>
      <c r="BR79" t="s">
        <v>113</v>
      </c>
      <c r="BS79" t="s">
        <v>180</v>
      </c>
      <c r="BT79" t="s">
        <v>103</v>
      </c>
      <c r="BU79" t="s">
        <v>114</v>
      </c>
      <c r="BV79" t="s">
        <v>237</v>
      </c>
      <c r="BW79" t="s">
        <v>238</v>
      </c>
      <c r="BX79">
        <v>46169</v>
      </c>
      <c r="BZ79" t="s">
        <v>94</v>
      </c>
      <c r="CA79">
        <v>46168</v>
      </c>
      <c r="CB79" s="2">
        <v>46171</v>
      </c>
      <c r="CC79" s="2">
        <v>46189</v>
      </c>
      <c r="CD79">
        <f>+VLOOKUP(C79,[1]Sheet1!$A$1:$AC$452,18,FALSE)</f>
        <v>1976</v>
      </c>
    </row>
    <row r="80" spans="1:82" x14ac:dyDescent="0.3">
      <c r="A80" t="s">
        <v>86</v>
      </c>
      <c r="B80">
        <v>20526</v>
      </c>
      <c r="C80">
        <v>448</v>
      </c>
      <c r="D80" s="1">
        <v>46169</v>
      </c>
      <c r="E80">
        <v>22</v>
      </c>
      <c r="F80">
        <v>5</v>
      </c>
      <c r="G80" s="1">
        <v>46189</v>
      </c>
      <c r="H80" t="s">
        <v>87</v>
      </c>
      <c r="I80" t="s">
        <v>88</v>
      </c>
      <c r="J80" t="s">
        <v>229</v>
      </c>
      <c r="K80">
        <v>19</v>
      </c>
      <c r="L80" t="s">
        <v>230</v>
      </c>
      <c r="M80">
        <v>173</v>
      </c>
      <c r="N80" t="s">
        <v>98</v>
      </c>
      <c r="O80" t="s">
        <v>231</v>
      </c>
      <c r="P80" t="s">
        <v>99</v>
      </c>
      <c r="Q80" t="s">
        <v>110</v>
      </c>
      <c r="R80" t="s">
        <v>232</v>
      </c>
      <c r="T80" t="s">
        <v>250</v>
      </c>
      <c r="U80" t="s">
        <v>250</v>
      </c>
      <c r="V80" t="s">
        <v>100</v>
      </c>
      <c r="W80" t="s">
        <v>142</v>
      </c>
      <c r="X80" t="s">
        <v>248</v>
      </c>
      <c r="Y80" t="s">
        <v>249</v>
      </c>
      <c r="Z80">
        <v>15</v>
      </c>
      <c r="AA80" t="s">
        <v>89</v>
      </c>
      <c r="AB80" t="s">
        <v>89</v>
      </c>
      <c r="AC80" t="s">
        <v>90</v>
      </c>
      <c r="AD80" t="s">
        <v>111</v>
      </c>
      <c r="AE80">
        <v>60</v>
      </c>
      <c r="AF80">
        <v>900</v>
      </c>
      <c r="AG80">
        <v>10</v>
      </c>
      <c r="AK80" t="s">
        <v>235</v>
      </c>
      <c r="AM80" t="s">
        <v>96</v>
      </c>
      <c r="AN80" t="s">
        <v>93</v>
      </c>
      <c r="AO80" t="s">
        <v>124</v>
      </c>
      <c r="AV80" t="s">
        <v>120</v>
      </c>
      <c r="AW80" t="s">
        <v>236</v>
      </c>
      <c r="AY80" t="s">
        <v>112</v>
      </c>
      <c r="AZ80" s="1">
        <v>46171</v>
      </c>
      <c r="BA80" t="s">
        <v>145</v>
      </c>
      <c r="BB80">
        <v>448</v>
      </c>
      <c r="BF80" t="s">
        <v>100</v>
      </c>
      <c r="BG80">
        <v>19</v>
      </c>
      <c r="BH80" t="s">
        <v>102</v>
      </c>
      <c r="BJ80" t="s">
        <v>94</v>
      </c>
      <c r="BK80" t="s">
        <v>232</v>
      </c>
      <c r="BL80" t="s">
        <v>100</v>
      </c>
      <c r="BP80" t="s">
        <v>147</v>
      </c>
      <c r="BQ80">
        <v>478</v>
      </c>
      <c r="BR80" t="s">
        <v>113</v>
      </c>
      <c r="BS80" t="s">
        <v>180</v>
      </c>
      <c r="BT80" t="s">
        <v>103</v>
      </c>
      <c r="BU80" t="s">
        <v>114</v>
      </c>
      <c r="BV80" t="s">
        <v>237</v>
      </c>
      <c r="BW80" t="s">
        <v>238</v>
      </c>
      <c r="BX80">
        <v>46169</v>
      </c>
      <c r="BZ80" t="s">
        <v>94</v>
      </c>
      <c r="CA80">
        <v>46168</v>
      </c>
      <c r="CB80" s="2">
        <v>46171</v>
      </c>
      <c r="CC80" s="2">
        <v>46189</v>
      </c>
      <c r="CD80">
        <f>+VLOOKUP(C80,[1]Sheet1!$A$1:$AC$452,18,FALSE)</f>
        <v>1976</v>
      </c>
    </row>
    <row r="81" spans="1:82" x14ac:dyDescent="0.3">
      <c r="A81" t="s">
        <v>86</v>
      </c>
      <c r="B81">
        <v>20527</v>
      </c>
      <c r="C81">
        <v>448</v>
      </c>
      <c r="D81" s="1">
        <v>46169</v>
      </c>
      <c r="E81">
        <v>22</v>
      </c>
      <c r="F81">
        <v>5</v>
      </c>
      <c r="G81" s="1">
        <v>46189</v>
      </c>
      <c r="H81" t="s">
        <v>87</v>
      </c>
      <c r="I81" t="s">
        <v>88</v>
      </c>
      <c r="J81" t="s">
        <v>229</v>
      </c>
      <c r="K81">
        <v>19</v>
      </c>
      <c r="L81" t="s">
        <v>230</v>
      </c>
      <c r="M81">
        <v>173</v>
      </c>
      <c r="N81" t="s">
        <v>98</v>
      </c>
      <c r="O81" t="s">
        <v>231</v>
      </c>
      <c r="P81" t="s">
        <v>99</v>
      </c>
      <c r="Q81" t="s">
        <v>110</v>
      </c>
      <c r="R81" t="s">
        <v>232</v>
      </c>
      <c r="T81" t="s">
        <v>251</v>
      </c>
      <c r="U81" t="s">
        <v>251</v>
      </c>
      <c r="V81" t="s">
        <v>100</v>
      </c>
      <c r="W81" t="s">
        <v>142</v>
      </c>
      <c r="X81" t="s">
        <v>143</v>
      </c>
      <c r="Y81" t="s">
        <v>95</v>
      </c>
      <c r="Z81">
        <v>15</v>
      </c>
      <c r="AA81" t="s">
        <v>89</v>
      </c>
      <c r="AB81" t="s">
        <v>89</v>
      </c>
      <c r="AC81" t="s">
        <v>90</v>
      </c>
      <c r="AD81" t="s">
        <v>118</v>
      </c>
      <c r="AE81">
        <v>77</v>
      </c>
      <c r="AF81">
        <v>1155</v>
      </c>
      <c r="AG81">
        <v>10</v>
      </c>
      <c r="AK81" t="s">
        <v>235</v>
      </c>
      <c r="AM81" t="s">
        <v>96</v>
      </c>
      <c r="AN81" t="s">
        <v>93</v>
      </c>
      <c r="AO81" t="s">
        <v>124</v>
      </c>
      <c r="AV81" t="s">
        <v>120</v>
      </c>
      <c r="AW81" t="s">
        <v>236</v>
      </c>
      <c r="AY81" t="s">
        <v>112</v>
      </c>
      <c r="AZ81" s="1">
        <v>46171</v>
      </c>
      <c r="BA81" t="s">
        <v>145</v>
      </c>
      <c r="BB81">
        <v>448</v>
      </c>
      <c r="BF81" t="s">
        <v>100</v>
      </c>
      <c r="BG81">
        <v>19</v>
      </c>
      <c r="BH81" t="s">
        <v>102</v>
      </c>
      <c r="BJ81" t="s">
        <v>94</v>
      </c>
      <c r="BK81" t="s">
        <v>232</v>
      </c>
      <c r="BL81" t="s">
        <v>100</v>
      </c>
      <c r="BP81" t="s">
        <v>147</v>
      </c>
      <c r="BQ81">
        <v>478</v>
      </c>
      <c r="BR81" t="s">
        <v>113</v>
      </c>
      <c r="BS81" t="s">
        <v>127</v>
      </c>
      <c r="BT81" t="s">
        <v>103</v>
      </c>
      <c r="BU81" t="s">
        <v>114</v>
      </c>
      <c r="BV81" t="s">
        <v>237</v>
      </c>
      <c r="BW81" t="s">
        <v>238</v>
      </c>
      <c r="BX81">
        <v>46169</v>
      </c>
      <c r="BZ81" t="s">
        <v>94</v>
      </c>
      <c r="CA81">
        <v>46168</v>
      </c>
      <c r="CB81" s="2">
        <v>46171</v>
      </c>
      <c r="CC81" s="2">
        <v>46189</v>
      </c>
      <c r="CD81">
        <f>+VLOOKUP(C81,[1]Sheet1!$A$1:$AC$452,18,FALSE)</f>
        <v>1976</v>
      </c>
    </row>
    <row r="82" spans="1:82" x14ac:dyDescent="0.3">
      <c r="A82" t="s">
        <v>86</v>
      </c>
      <c r="B82">
        <v>20528</v>
      </c>
      <c r="C82">
        <v>448</v>
      </c>
      <c r="D82" s="1">
        <v>46169</v>
      </c>
      <c r="E82">
        <v>22</v>
      </c>
      <c r="F82">
        <v>5</v>
      </c>
      <c r="G82" s="1">
        <v>46189</v>
      </c>
      <c r="H82" t="s">
        <v>87</v>
      </c>
      <c r="I82" t="s">
        <v>88</v>
      </c>
      <c r="J82" t="s">
        <v>229</v>
      </c>
      <c r="K82">
        <v>19</v>
      </c>
      <c r="L82" t="s">
        <v>230</v>
      </c>
      <c r="M82">
        <v>173</v>
      </c>
      <c r="N82" t="s">
        <v>98</v>
      </c>
      <c r="O82" t="s">
        <v>231</v>
      </c>
      <c r="P82" t="s">
        <v>99</v>
      </c>
      <c r="Q82" t="s">
        <v>110</v>
      </c>
      <c r="R82" t="s">
        <v>232</v>
      </c>
      <c r="T82" t="s">
        <v>251</v>
      </c>
      <c r="U82" t="s">
        <v>251</v>
      </c>
      <c r="V82" t="s">
        <v>100</v>
      </c>
      <c r="W82" t="s">
        <v>142</v>
      </c>
      <c r="X82" t="s">
        <v>143</v>
      </c>
      <c r="Y82" t="s">
        <v>95</v>
      </c>
      <c r="Z82">
        <v>15</v>
      </c>
      <c r="AA82" t="s">
        <v>89</v>
      </c>
      <c r="AB82" t="s">
        <v>89</v>
      </c>
      <c r="AC82" t="s">
        <v>90</v>
      </c>
      <c r="AD82" t="s">
        <v>119</v>
      </c>
      <c r="AE82">
        <v>3</v>
      </c>
      <c r="AF82">
        <v>45</v>
      </c>
      <c r="AG82">
        <v>10</v>
      </c>
      <c r="AK82" t="s">
        <v>235</v>
      </c>
      <c r="AM82" t="s">
        <v>96</v>
      </c>
      <c r="AN82" t="s">
        <v>93</v>
      </c>
      <c r="AO82" t="s">
        <v>124</v>
      </c>
      <c r="AV82" t="s">
        <v>120</v>
      </c>
      <c r="AW82" t="s">
        <v>236</v>
      </c>
      <c r="AY82" t="s">
        <v>112</v>
      </c>
      <c r="AZ82" s="1">
        <v>46171</v>
      </c>
      <c r="BA82" t="s">
        <v>145</v>
      </c>
      <c r="BB82">
        <v>448</v>
      </c>
      <c r="BF82" t="s">
        <v>100</v>
      </c>
      <c r="BG82">
        <v>19</v>
      </c>
      <c r="BH82" t="s">
        <v>102</v>
      </c>
      <c r="BJ82" t="s">
        <v>94</v>
      </c>
      <c r="BK82" t="s">
        <v>232</v>
      </c>
      <c r="BL82" t="s">
        <v>100</v>
      </c>
      <c r="BP82" t="s">
        <v>147</v>
      </c>
      <c r="BQ82">
        <v>478</v>
      </c>
      <c r="BR82" t="s">
        <v>113</v>
      </c>
      <c r="BS82" t="s">
        <v>127</v>
      </c>
      <c r="BT82" t="s">
        <v>103</v>
      </c>
      <c r="BU82" t="s">
        <v>114</v>
      </c>
      <c r="BV82" t="s">
        <v>237</v>
      </c>
      <c r="BW82" t="s">
        <v>238</v>
      </c>
      <c r="BX82">
        <v>46169</v>
      </c>
      <c r="BZ82" t="s">
        <v>94</v>
      </c>
      <c r="CA82">
        <v>46168</v>
      </c>
      <c r="CB82" s="2">
        <v>46171</v>
      </c>
      <c r="CC82" s="2">
        <v>46189</v>
      </c>
      <c r="CD82">
        <f>+VLOOKUP(C82,[1]Sheet1!$A$1:$AC$452,18,FALSE)</f>
        <v>1976</v>
      </c>
    </row>
    <row r="83" spans="1:82" x14ac:dyDescent="0.3">
      <c r="A83" t="s">
        <v>86</v>
      </c>
      <c r="B83">
        <v>20529</v>
      </c>
      <c r="C83">
        <v>448</v>
      </c>
      <c r="D83" s="1">
        <v>46169</v>
      </c>
      <c r="E83">
        <v>22</v>
      </c>
      <c r="F83">
        <v>5</v>
      </c>
      <c r="G83" s="1">
        <v>46189</v>
      </c>
      <c r="H83" t="s">
        <v>87</v>
      </c>
      <c r="I83" t="s">
        <v>88</v>
      </c>
      <c r="J83" t="s">
        <v>229</v>
      </c>
      <c r="K83">
        <v>19</v>
      </c>
      <c r="L83" t="s">
        <v>230</v>
      </c>
      <c r="M83">
        <v>173</v>
      </c>
      <c r="N83" t="s">
        <v>98</v>
      </c>
      <c r="O83" t="s">
        <v>231</v>
      </c>
      <c r="P83" t="s">
        <v>99</v>
      </c>
      <c r="Q83" t="s">
        <v>110</v>
      </c>
      <c r="R83" t="s">
        <v>232</v>
      </c>
      <c r="T83" t="s">
        <v>252</v>
      </c>
      <c r="U83" t="s">
        <v>252</v>
      </c>
      <c r="V83" t="s">
        <v>100</v>
      </c>
      <c r="W83" t="s">
        <v>142</v>
      </c>
      <c r="X83" t="s">
        <v>143</v>
      </c>
      <c r="Y83" t="s">
        <v>95</v>
      </c>
      <c r="Z83">
        <v>15</v>
      </c>
      <c r="AA83" t="s">
        <v>89</v>
      </c>
      <c r="AB83" t="s">
        <v>89</v>
      </c>
      <c r="AC83" t="s">
        <v>90</v>
      </c>
      <c r="AD83" t="s">
        <v>119</v>
      </c>
      <c r="AE83">
        <v>37</v>
      </c>
      <c r="AF83">
        <v>555</v>
      </c>
      <c r="AG83">
        <v>10</v>
      </c>
      <c r="AK83" t="s">
        <v>235</v>
      </c>
      <c r="AM83" t="s">
        <v>96</v>
      </c>
      <c r="AN83" t="s">
        <v>93</v>
      </c>
      <c r="AO83" t="s">
        <v>124</v>
      </c>
      <c r="AV83" t="s">
        <v>120</v>
      </c>
      <c r="AW83" t="s">
        <v>236</v>
      </c>
      <c r="AY83" t="s">
        <v>112</v>
      </c>
      <c r="AZ83" s="1">
        <v>46171</v>
      </c>
      <c r="BA83" t="s">
        <v>145</v>
      </c>
      <c r="BB83">
        <v>448</v>
      </c>
      <c r="BF83" t="s">
        <v>100</v>
      </c>
      <c r="BG83">
        <v>19</v>
      </c>
      <c r="BH83" t="s">
        <v>102</v>
      </c>
      <c r="BJ83" t="s">
        <v>94</v>
      </c>
      <c r="BK83" t="s">
        <v>232</v>
      </c>
      <c r="BL83" t="s">
        <v>100</v>
      </c>
      <c r="BP83" t="s">
        <v>147</v>
      </c>
      <c r="BQ83">
        <v>478</v>
      </c>
      <c r="BR83" t="s">
        <v>113</v>
      </c>
      <c r="BS83" t="s">
        <v>127</v>
      </c>
      <c r="BT83" t="s">
        <v>103</v>
      </c>
      <c r="BU83" t="s">
        <v>114</v>
      </c>
      <c r="BV83" t="s">
        <v>237</v>
      </c>
      <c r="BW83" t="s">
        <v>238</v>
      </c>
      <c r="BX83">
        <v>46169</v>
      </c>
      <c r="BZ83" t="s">
        <v>94</v>
      </c>
      <c r="CA83">
        <v>46168</v>
      </c>
      <c r="CB83" s="2">
        <v>46171</v>
      </c>
      <c r="CC83" s="2">
        <v>46189</v>
      </c>
      <c r="CD83">
        <f>+VLOOKUP(C83,[1]Sheet1!$A$1:$AC$452,18,FALSE)</f>
        <v>1976</v>
      </c>
    </row>
    <row r="84" spans="1:82" x14ac:dyDescent="0.3">
      <c r="A84" t="s">
        <v>86</v>
      </c>
      <c r="B84">
        <v>20530</v>
      </c>
      <c r="C84">
        <v>448</v>
      </c>
      <c r="D84" s="1">
        <v>46169</v>
      </c>
      <c r="E84">
        <v>22</v>
      </c>
      <c r="F84">
        <v>5</v>
      </c>
      <c r="G84" s="1">
        <v>46189</v>
      </c>
      <c r="H84" t="s">
        <v>87</v>
      </c>
      <c r="I84" t="s">
        <v>88</v>
      </c>
      <c r="J84" t="s">
        <v>229</v>
      </c>
      <c r="K84">
        <v>19</v>
      </c>
      <c r="L84" t="s">
        <v>230</v>
      </c>
      <c r="M84">
        <v>173</v>
      </c>
      <c r="N84" t="s">
        <v>98</v>
      </c>
      <c r="O84" t="s">
        <v>231</v>
      </c>
      <c r="P84" t="s">
        <v>99</v>
      </c>
      <c r="Q84" t="s">
        <v>110</v>
      </c>
      <c r="R84" t="s">
        <v>232</v>
      </c>
      <c r="T84" t="s">
        <v>252</v>
      </c>
      <c r="U84" t="s">
        <v>252</v>
      </c>
      <c r="V84" t="s">
        <v>100</v>
      </c>
      <c r="W84" t="s">
        <v>142</v>
      </c>
      <c r="X84" t="s">
        <v>143</v>
      </c>
      <c r="Y84" t="s">
        <v>95</v>
      </c>
      <c r="Z84">
        <v>15</v>
      </c>
      <c r="AA84" t="s">
        <v>89</v>
      </c>
      <c r="AB84" t="s">
        <v>89</v>
      </c>
      <c r="AC84" t="s">
        <v>90</v>
      </c>
      <c r="AD84" t="s">
        <v>119</v>
      </c>
      <c r="AE84">
        <v>43</v>
      </c>
      <c r="AF84">
        <v>645</v>
      </c>
      <c r="AG84">
        <v>10</v>
      </c>
      <c r="AK84" t="s">
        <v>235</v>
      </c>
      <c r="AM84" t="s">
        <v>96</v>
      </c>
      <c r="AN84" t="s">
        <v>93</v>
      </c>
      <c r="AO84" t="s">
        <v>124</v>
      </c>
      <c r="AV84" t="s">
        <v>120</v>
      </c>
      <c r="AW84" t="s">
        <v>236</v>
      </c>
      <c r="AY84" t="s">
        <v>112</v>
      </c>
      <c r="AZ84" s="1">
        <v>46171</v>
      </c>
      <c r="BA84" t="s">
        <v>145</v>
      </c>
      <c r="BB84">
        <v>448</v>
      </c>
      <c r="BF84" t="s">
        <v>100</v>
      </c>
      <c r="BG84">
        <v>19</v>
      </c>
      <c r="BH84" t="s">
        <v>102</v>
      </c>
      <c r="BJ84" t="s">
        <v>94</v>
      </c>
      <c r="BK84" t="s">
        <v>232</v>
      </c>
      <c r="BL84" t="s">
        <v>100</v>
      </c>
      <c r="BP84" t="s">
        <v>147</v>
      </c>
      <c r="BQ84">
        <v>478</v>
      </c>
      <c r="BR84" t="s">
        <v>113</v>
      </c>
      <c r="BS84" t="s">
        <v>127</v>
      </c>
      <c r="BT84" t="s">
        <v>103</v>
      </c>
      <c r="BU84" t="s">
        <v>114</v>
      </c>
      <c r="BV84" t="s">
        <v>237</v>
      </c>
      <c r="BW84" t="s">
        <v>238</v>
      </c>
      <c r="BX84">
        <v>46169</v>
      </c>
      <c r="BZ84" t="s">
        <v>94</v>
      </c>
      <c r="CA84">
        <v>46168</v>
      </c>
      <c r="CB84" s="2">
        <v>46171</v>
      </c>
      <c r="CC84" s="2">
        <v>46189</v>
      </c>
      <c r="CD84">
        <f>+VLOOKUP(C84,[1]Sheet1!$A$1:$AC$452,18,FALSE)</f>
        <v>1976</v>
      </c>
    </row>
    <row r="85" spans="1:82" x14ac:dyDescent="0.3">
      <c r="A85" t="s">
        <v>86</v>
      </c>
      <c r="B85">
        <v>20531</v>
      </c>
      <c r="C85">
        <v>448</v>
      </c>
      <c r="D85" s="1">
        <v>46169</v>
      </c>
      <c r="E85">
        <v>22</v>
      </c>
      <c r="F85">
        <v>5</v>
      </c>
      <c r="G85" s="1">
        <v>46189</v>
      </c>
      <c r="H85" t="s">
        <v>87</v>
      </c>
      <c r="I85" t="s">
        <v>88</v>
      </c>
      <c r="J85" t="s">
        <v>229</v>
      </c>
      <c r="K85">
        <v>19</v>
      </c>
      <c r="L85" t="s">
        <v>230</v>
      </c>
      <c r="M85">
        <v>173</v>
      </c>
      <c r="N85" t="s">
        <v>98</v>
      </c>
      <c r="O85" t="s">
        <v>231</v>
      </c>
      <c r="P85" t="s">
        <v>99</v>
      </c>
      <c r="Q85" t="s">
        <v>110</v>
      </c>
      <c r="R85" t="s">
        <v>232</v>
      </c>
      <c r="T85" t="s">
        <v>253</v>
      </c>
      <c r="U85" t="s">
        <v>253</v>
      </c>
      <c r="V85" t="s">
        <v>100</v>
      </c>
      <c r="W85" t="s">
        <v>142</v>
      </c>
      <c r="X85" t="s">
        <v>248</v>
      </c>
      <c r="Y85" t="s">
        <v>249</v>
      </c>
      <c r="Z85">
        <v>15</v>
      </c>
      <c r="AA85" t="s">
        <v>89</v>
      </c>
      <c r="AB85" t="s">
        <v>89</v>
      </c>
      <c r="AC85" t="s">
        <v>90</v>
      </c>
      <c r="AD85" t="s">
        <v>109</v>
      </c>
      <c r="AE85">
        <v>60</v>
      </c>
      <c r="AF85">
        <v>900</v>
      </c>
      <c r="AG85">
        <v>10</v>
      </c>
      <c r="AK85" t="s">
        <v>235</v>
      </c>
      <c r="AM85" t="s">
        <v>96</v>
      </c>
      <c r="AN85" t="s">
        <v>93</v>
      </c>
      <c r="AO85" t="s">
        <v>124</v>
      </c>
      <c r="AV85" t="s">
        <v>120</v>
      </c>
      <c r="AW85" t="s">
        <v>236</v>
      </c>
      <c r="AY85" t="s">
        <v>112</v>
      </c>
      <c r="AZ85" s="1">
        <v>46171</v>
      </c>
      <c r="BA85" t="s">
        <v>145</v>
      </c>
      <c r="BB85">
        <v>448</v>
      </c>
      <c r="BF85" t="s">
        <v>100</v>
      </c>
      <c r="BG85">
        <v>19</v>
      </c>
      <c r="BH85" t="s">
        <v>102</v>
      </c>
      <c r="BJ85" t="s">
        <v>94</v>
      </c>
      <c r="BK85" t="s">
        <v>232</v>
      </c>
      <c r="BL85" t="s">
        <v>100</v>
      </c>
      <c r="BP85" t="s">
        <v>147</v>
      </c>
      <c r="BQ85">
        <v>478</v>
      </c>
      <c r="BR85" t="s">
        <v>113</v>
      </c>
      <c r="BS85" t="s">
        <v>180</v>
      </c>
      <c r="BT85" t="s">
        <v>103</v>
      </c>
      <c r="BU85" t="s">
        <v>114</v>
      </c>
      <c r="BV85" t="s">
        <v>237</v>
      </c>
      <c r="BW85" t="s">
        <v>238</v>
      </c>
      <c r="BX85">
        <v>46169</v>
      </c>
      <c r="BZ85" t="s">
        <v>94</v>
      </c>
      <c r="CA85">
        <v>46168</v>
      </c>
      <c r="CB85" s="2">
        <v>46171</v>
      </c>
      <c r="CC85" s="2">
        <v>46189</v>
      </c>
      <c r="CD85">
        <f>+VLOOKUP(C85,[1]Sheet1!$A$1:$AC$452,18,FALSE)</f>
        <v>1976</v>
      </c>
    </row>
    <row r="86" spans="1:82" x14ac:dyDescent="0.3">
      <c r="A86" t="s">
        <v>86</v>
      </c>
      <c r="B86">
        <v>20532</v>
      </c>
      <c r="C86">
        <v>448</v>
      </c>
      <c r="D86" s="1">
        <v>46169</v>
      </c>
      <c r="E86">
        <v>22</v>
      </c>
      <c r="F86">
        <v>5</v>
      </c>
      <c r="G86" s="1">
        <v>46189</v>
      </c>
      <c r="H86" t="s">
        <v>87</v>
      </c>
      <c r="I86" t="s">
        <v>88</v>
      </c>
      <c r="J86" t="s">
        <v>229</v>
      </c>
      <c r="K86">
        <v>19</v>
      </c>
      <c r="L86" t="s">
        <v>230</v>
      </c>
      <c r="M86">
        <v>173</v>
      </c>
      <c r="N86" t="s">
        <v>98</v>
      </c>
      <c r="O86" t="s">
        <v>231</v>
      </c>
      <c r="P86" t="s">
        <v>99</v>
      </c>
      <c r="Q86" t="s">
        <v>110</v>
      </c>
      <c r="R86" t="s">
        <v>232</v>
      </c>
      <c r="T86" t="s">
        <v>254</v>
      </c>
      <c r="U86" t="s">
        <v>254</v>
      </c>
      <c r="V86" t="s">
        <v>100</v>
      </c>
      <c r="W86" t="s">
        <v>142</v>
      </c>
      <c r="X86" t="s">
        <v>248</v>
      </c>
      <c r="Y86" t="s">
        <v>249</v>
      </c>
      <c r="Z86">
        <v>15</v>
      </c>
      <c r="AA86" t="s">
        <v>89</v>
      </c>
      <c r="AB86" t="s">
        <v>89</v>
      </c>
      <c r="AC86" t="s">
        <v>90</v>
      </c>
      <c r="AD86" t="s">
        <v>111</v>
      </c>
      <c r="AE86">
        <v>60</v>
      </c>
      <c r="AF86">
        <v>900</v>
      </c>
      <c r="AG86">
        <v>10</v>
      </c>
      <c r="AK86" t="s">
        <v>235</v>
      </c>
      <c r="AM86" t="s">
        <v>96</v>
      </c>
      <c r="AN86" t="s">
        <v>93</v>
      </c>
      <c r="AO86" t="s">
        <v>124</v>
      </c>
      <c r="AV86" t="s">
        <v>120</v>
      </c>
      <c r="AW86" t="s">
        <v>236</v>
      </c>
      <c r="AY86" t="s">
        <v>112</v>
      </c>
      <c r="AZ86" s="1">
        <v>46171</v>
      </c>
      <c r="BA86" t="s">
        <v>145</v>
      </c>
      <c r="BB86">
        <v>448</v>
      </c>
      <c r="BF86" t="s">
        <v>100</v>
      </c>
      <c r="BG86">
        <v>19</v>
      </c>
      <c r="BH86" t="s">
        <v>102</v>
      </c>
      <c r="BJ86" t="s">
        <v>94</v>
      </c>
      <c r="BK86" t="s">
        <v>232</v>
      </c>
      <c r="BL86" t="s">
        <v>100</v>
      </c>
      <c r="BP86" t="s">
        <v>147</v>
      </c>
      <c r="BQ86">
        <v>478</v>
      </c>
      <c r="BR86" t="s">
        <v>113</v>
      </c>
      <c r="BS86" t="s">
        <v>180</v>
      </c>
      <c r="BT86" t="s">
        <v>103</v>
      </c>
      <c r="BU86" t="s">
        <v>114</v>
      </c>
      <c r="BV86" t="s">
        <v>237</v>
      </c>
      <c r="BW86" t="s">
        <v>238</v>
      </c>
      <c r="BX86">
        <v>46169</v>
      </c>
      <c r="BZ86" t="s">
        <v>94</v>
      </c>
      <c r="CA86">
        <v>46168</v>
      </c>
      <c r="CB86" s="2">
        <v>46171</v>
      </c>
      <c r="CC86" s="2">
        <v>46189</v>
      </c>
      <c r="CD86">
        <f>+VLOOKUP(C86,[1]Sheet1!$A$1:$AC$452,18,FALSE)</f>
        <v>1976</v>
      </c>
    </row>
    <row r="87" spans="1:82" x14ac:dyDescent="0.3">
      <c r="A87" t="s">
        <v>86</v>
      </c>
      <c r="B87">
        <v>20533</v>
      </c>
      <c r="C87">
        <v>448</v>
      </c>
      <c r="D87" s="1">
        <v>46169</v>
      </c>
      <c r="E87">
        <v>22</v>
      </c>
      <c r="F87">
        <v>5</v>
      </c>
      <c r="G87" s="1">
        <v>46189</v>
      </c>
      <c r="H87" t="s">
        <v>87</v>
      </c>
      <c r="I87" t="s">
        <v>88</v>
      </c>
      <c r="J87" t="s">
        <v>229</v>
      </c>
      <c r="K87">
        <v>19</v>
      </c>
      <c r="L87" t="s">
        <v>230</v>
      </c>
      <c r="M87">
        <v>173</v>
      </c>
      <c r="N87" t="s">
        <v>98</v>
      </c>
      <c r="O87" t="s">
        <v>231</v>
      </c>
      <c r="P87" t="s">
        <v>99</v>
      </c>
      <c r="Q87" t="s">
        <v>110</v>
      </c>
      <c r="R87" t="s">
        <v>232</v>
      </c>
      <c r="T87" t="s">
        <v>255</v>
      </c>
      <c r="U87" t="s">
        <v>255</v>
      </c>
      <c r="V87" t="s">
        <v>100</v>
      </c>
      <c r="W87" t="s">
        <v>142</v>
      </c>
      <c r="X87" t="s">
        <v>248</v>
      </c>
      <c r="Y87" t="s">
        <v>249</v>
      </c>
      <c r="Z87">
        <v>15</v>
      </c>
      <c r="AA87" t="s">
        <v>89</v>
      </c>
      <c r="AB87" t="s">
        <v>89</v>
      </c>
      <c r="AC87" t="s">
        <v>90</v>
      </c>
      <c r="AD87" t="s">
        <v>111</v>
      </c>
      <c r="AE87">
        <v>60</v>
      </c>
      <c r="AF87">
        <v>900</v>
      </c>
      <c r="AG87">
        <v>10</v>
      </c>
      <c r="AK87" t="s">
        <v>235</v>
      </c>
      <c r="AM87" t="s">
        <v>96</v>
      </c>
      <c r="AN87" t="s">
        <v>93</v>
      </c>
      <c r="AO87" t="s">
        <v>124</v>
      </c>
      <c r="AV87" t="s">
        <v>120</v>
      </c>
      <c r="AW87" t="s">
        <v>236</v>
      </c>
      <c r="AY87" t="s">
        <v>112</v>
      </c>
      <c r="AZ87" s="1">
        <v>46171</v>
      </c>
      <c r="BA87" t="s">
        <v>145</v>
      </c>
      <c r="BB87">
        <v>448</v>
      </c>
      <c r="BF87" t="s">
        <v>100</v>
      </c>
      <c r="BG87">
        <v>19</v>
      </c>
      <c r="BH87" t="s">
        <v>102</v>
      </c>
      <c r="BJ87" t="s">
        <v>94</v>
      </c>
      <c r="BK87" t="s">
        <v>232</v>
      </c>
      <c r="BL87" t="s">
        <v>100</v>
      </c>
      <c r="BP87" t="s">
        <v>147</v>
      </c>
      <c r="BQ87">
        <v>478</v>
      </c>
      <c r="BR87" t="s">
        <v>113</v>
      </c>
      <c r="BS87" t="s">
        <v>180</v>
      </c>
      <c r="BT87" t="s">
        <v>103</v>
      </c>
      <c r="BU87" t="s">
        <v>114</v>
      </c>
      <c r="BV87" t="s">
        <v>237</v>
      </c>
      <c r="BW87" t="s">
        <v>238</v>
      </c>
      <c r="BX87">
        <v>46169</v>
      </c>
      <c r="BZ87" t="s">
        <v>94</v>
      </c>
      <c r="CA87">
        <v>46168</v>
      </c>
      <c r="CB87" s="2">
        <v>46171</v>
      </c>
      <c r="CC87" s="2">
        <v>46189</v>
      </c>
      <c r="CD87">
        <f>+VLOOKUP(C87,[1]Sheet1!$A$1:$AC$452,18,FALSE)</f>
        <v>1976</v>
      </c>
    </row>
    <row r="88" spans="1:82" x14ac:dyDescent="0.3">
      <c r="A88" t="s">
        <v>86</v>
      </c>
      <c r="B88">
        <v>20534</v>
      </c>
      <c r="C88">
        <v>448</v>
      </c>
      <c r="D88" s="1">
        <v>46169</v>
      </c>
      <c r="E88">
        <v>22</v>
      </c>
      <c r="F88">
        <v>5</v>
      </c>
      <c r="G88" s="1">
        <v>46189</v>
      </c>
      <c r="H88" t="s">
        <v>87</v>
      </c>
      <c r="I88" t="s">
        <v>88</v>
      </c>
      <c r="J88" t="s">
        <v>229</v>
      </c>
      <c r="K88">
        <v>19</v>
      </c>
      <c r="L88" t="s">
        <v>230</v>
      </c>
      <c r="M88">
        <v>173</v>
      </c>
      <c r="N88" t="s">
        <v>98</v>
      </c>
      <c r="O88" t="s">
        <v>231</v>
      </c>
      <c r="P88" t="s">
        <v>99</v>
      </c>
      <c r="Q88" t="s">
        <v>110</v>
      </c>
      <c r="R88" t="s">
        <v>232</v>
      </c>
      <c r="T88" t="s">
        <v>256</v>
      </c>
      <c r="U88" t="s">
        <v>256</v>
      </c>
      <c r="V88" t="s">
        <v>100</v>
      </c>
      <c r="W88" t="s">
        <v>142</v>
      </c>
      <c r="X88" t="s">
        <v>248</v>
      </c>
      <c r="Y88" t="s">
        <v>249</v>
      </c>
      <c r="Z88">
        <v>15</v>
      </c>
      <c r="AA88" t="s">
        <v>89</v>
      </c>
      <c r="AB88" t="s">
        <v>89</v>
      </c>
      <c r="AC88" t="s">
        <v>90</v>
      </c>
      <c r="AD88" t="s">
        <v>109</v>
      </c>
      <c r="AE88">
        <v>60</v>
      </c>
      <c r="AF88">
        <v>900</v>
      </c>
      <c r="AG88">
        <v>10</v>
      </c>
      <c r="AK88" t="s">
        <v>235</v>
      </c>
      <c r="AM88" t="s">
        <v>96</v>
      </c>
      <c r="AN88" t="s">
        <v>93</v>
      </c>
      <c r="AO88" t="s">
        <v>124</v>
      </c>
      <c r="AV88" t="s">
        <v>120</v>
      </c>
      <c r="AW88" t="s">
        <v>236</v>
      </c>
      <c r="AY88" t="s">
        <v>112</v>
      </c>
      <c r="AZ88" s="1">
        <v>46171</v>
      </c>
      <c r="BA88" t="s">
        <v>145</v>
      </c>
      <c r="BB88">
        <v>448</v>
      </c>
      <c r="BF88" t="s">
        <v>100</v>
      </c>
      <c r="BG88">
        <v>19</v>
      </c>
      <c r="BH88" t="s">
        <v>102</v>
      </c>
      <c r="BJ88" t="s">
        <v>94</v>
      </c>
      <c r="BK88" t="s">
        <v>232</v>
      </c>
      <c r="BL88" t="s">
        <v>100</v>
      </c>
      <c r="BP88" t="s">
        <v>147</v>
      </c>
      <c r="BQ88">
        <v>478</v>
      </c>
      <c r="BR88" t="s">
        <v>113</v>
      </c>
      <c r="BS88" t="s">
        <v>180</v>
      </c>
      <c r="BT88" t="s">
        <v>103</v>
      </c>
      <c r="BU88" t="s">
        <v>114</v>
      </c>
      <c r="BV88" t="s">
        <v>237</v>
      </c>
      <c r="BW88" t="s">
        <v>238</v>
      </c>
      <c r="BX88">
        <v>46169</v>
      </c>
      <c r="BZ88" t="s">
        <v>94</v>
      </c>
      <c r="CA88">
        <v>46168</v>
      </c>
      <c r="CB88" s="2">
        <v>46171</v>
      </c>
      <c r="CC88" s="2">
        <v>46189</v>
      </c>
      <c r="CD88">
        <f>+VLOOKUP(C88,[1]Sheet1!$A$1:$AC$452,18,FALSE)</f>
        <v>1976</v>
      </c>
    </row>
    <row r="89" spans="1:82" x14ac:dyDescent="0.3">
      <c r="A89" t="s">
        <v>86</v>
      </c>
      <c r="B89">
        <v>20535</v>
      </c>
      <c r="C89">
        <v>448</v>
      </c>
      <c r="D89" s="1">
        <v>46169</v>
      </c>
      <c r="E89">
        <v>22</v>
      </c>
      <c r="F89">
        <v>5</v>
      </c>
      <c r="G89" s="1">
        <v>46189</v>
      </c>
      <c r="H89" t="s">
        <v>87</v>
      </c>
      <c r="I89" t="s">
        <v>88</v>
      </c>
      <c r="J89" t="s">
        <v>229</v>
      </c>
      <c r="K89">
        <v>19</v>
      </c>
      <c r="L89" t="s">
        <v>230</v>
      </c>
      <c r="M89">
        <v>173</v>
      </c>
      <c r="N89" t="s">
        <v>98</v>
      </c>
      <c r="O89" t="s">
        <v>231</v>
      </c>
      <c r="P89" t="s">
        <v>99</v>
      </c>
      <c r="Q89" t="s">
        <v>110</v>
      </c>
      <c r="R89" t="s">
        <v>232</v>
      </c>
      <c r="T89" t="s">
        <v>257</v>
      </c>
      <c r="U89" t="s">
        <v>257</v>
      </c>
      <c r="V89" t="s">
        <v>100</v>
      </c>
      <c r="W89" t="s">
        <v>142</v>
      </c>
      <c r="X89" t="s">
        <v>248</v>
      </c>
      <c r="Y89" t="s">
        <v>249</v>
      </c>
      <c r="Z89">
        <v>15</v>
      </c>
      <c r="AA89" t="s">
        <v>89</v>
      </c>
      <c r="AB89" t="s">
        <v>89</v>
      </c>
      <c r="AC89" t="s">
        <v>90</v>
      </c>
      <c r="AD89" t="s">
        <v>109</v>
      </c>
      <c r="AE89">
        <v>60</v>
      </c>
      <c r="AF89">
        <v>900</v>
      </c>
      <c r="AG89">
        <v>10</v>
      </c>
      <c r="AK89" t="s">
        <v>235</v>
      </c>
      <c r="AM89" t="s">
        <v>96</v>
      </c>
      <c r="AN89" t="s">
        <v>93</v>
      </c>
      <c r="AO89" t="s">
        <v>124</v>
      </c>
      <c r="AV89" t="s">
        <v>120</v>
      </c>
      <c r="AW89" t="s">
        <v>236</v>
      </c>
      <c r="AY89" t="s">
        <v>112</v>
      </c>
      <c r="AZ89" s="1">
        <v>46171</v>
      </c>
      <c r="BA89" t="s">
        <v>145</v>
      </c>
      <c r="BB89">
        <v>448</v>
      </c>
      <c r="BF89" t="s">
        <v>100</v>
      </c>
      <c r="BG89">
        <v>19</v>
      </c>
      <c r="BH89" t="s">
        <v>102</v>
      </c>
      <c r="BJ89" t="s">
        <v>94</v>
      </c>
      <c r="BK89" t="s">
        <v>232</v>
      </c>
      <c r="BL89" t="s">
        <v>100</v>
      </c>
      <c r="BP89" t="s">
        <v>147</v>
      </c>
      <c r="BQ89">
        <v>478</v>
      </c>
      <c r="BR89" t="s">
        <v>113</v>
      </c>
      <c r="BS89" t="s">
        <v>180</v>
      </c>
      <c r="BT89" t="s">
        <v>103</v>
      </c>
      <c r="BU89" t="s">
        <v>114</v>
      </c>
      <c r="BV89" t="s">
        <v>237</v>
      </c>
      <c r="BW89" t="s">
        <v>238</v>
      </c>
      <c r="BX89">
        <v>46169</v>
      </c>
      <c r="BZ89" t="s">
        <v>94</v>
      </c>
      <c r="CA89">
        <v>46168</v>
      </c>
      <c r="CB89" s="2">
        <v>46171</v>
      </c>
      <c r="CC89" s="2">
        <v>46189</v>
      </c>
      <c r="CD89">
        <f>+VLOOKUP(C89,[1]Sheet1!$A$1:$AC$452,18,FALSE)</f>
        <v>1976</v>
      </c>
    </row>
    <row r="90" spans="1:82" x14ac:dyDescent="0.3">
      <c r="A90" t="s">
        <v>86</v>
      </c>
      <c r="B90">
        <v>20536</v>
      </c>
      <c r="C90">
        <v>448</v>
      </c>
      <c r="D90" s="1">
        <v>46169</v>
      </c>
      <c r="E90">
        <v>22</v>
      </c>
      <c r="F90">
        <v>5</v>
      </c>
      <c r="G90" s="1">
        <v>46189</v>
      </c>
      <c r="H90" t="s">
        <v>87</v>
      </c>
      <c r="I90" t="s">
        <v>88</v>
      </c>
      <c r="J90" t="s">
        <v>229</v>
      </c>
      <c r="K90">
        <v>19</v>
      </c>
      <c r="L90" t="s">
        <v>230</v>
      </c>
      <c r="M90">
        <v>173</v>
      </c>
      <c r="N90" t="s">
        <v>98</v>
      </c>
      <c r="O90" t="s">
        <v>231</v>
      </c>
      <c r="P90" t="s">
        <v>99</v>
      </c>
      <c r="Q90" t="s">
        <v>110</v>
      </c>
      <c r="R90" t="s">
        <v>232</v>
      </c>
      <c r="T90" t="s">
        <v>258</v>
      </c>
      <c r="U90" t="s">
        <v>258</v>
      </c>
      <c r="V90" t="s">
        <v>100</v>
      </c>
      <c r="W90" t="s">
        <v>142</v>
      </c>
      <c r="X90" t="s">
        <v>248</v>
      </c>
      <c r="Y90" t="s">
        <v>249</v>
      </c>
      <c r="Z90">
        <v>15</v>
      </c>
      <c r="AA90" t="s">
        <v>89</v>
      </c>
      <c r="AB90" t="s">
        <v>89</v>
      </c>
      <c r="AC90" t="s">
        <v>90</v>
      </c>
      <c r="AD90" t="s">
        <v>109</v>
      </c>
      <c r="AE90">
        <v>60</v>
      </c>
      <c r="AF90">
        <v>900</v>
      </c>
      <c r="AG90">
        <v>10</v>
      </c>
      <c r="AK90" t="s">
        <v>235</v>
      </c>
      <c r="AM90" t="s">
        <v>96</v>
      </c>
      <c r="AN90" t="s">
        <v>93</v>
      </c>
      <c r="AO90" t="s">
        <v>124</v>
      </c>
      <c r="AV90" t="s">
        <v>120</v>
      </c>
      <c r="AW90" t="s">
        <v>236</v>
      </c>
      <c r="AY90" t="s">
        <v>112</v>
      </c>
      <c r="AZ90" s="1">
        <v>46171</v>
      </c>
      <c r="BA90" t="s">
        <v>145</v>
      </c>
      <c r="BB90">
        <v>448</v>
      </c>
      <c r="BF90" t="s">
        <v>100</v>
      </c>
      <c r="BG90">
        <v>19</v>
      </c>
      <c r="BH90" t="s">
        <v>102</v>
      </c>
      <c r="BJ90" t="s">
        <v>94</v>
      </c>
      <c r="BK90" t="s">
        <v>232</v>
      </c>
      <c r="BL90" t="s">
        <v>100</v>
      </c>
      <c r="BP90" t="s">
        <v>147</v>
      </c>
      <c r="BQ90">
        <v>478</v>
      </c>
      <c r="BR90" t="s">
        <v>113</v>
      </c>
      <c r="BS90" t="s">
        <v>180</v>
      </c>
      <c r="BT90" t="s">
        <v>103</v>
      </c>
      <c r="BU90" t="s">
        <v>114</v>
      </c>
      <c r="BV90" t="s">
        <v>237</v>
      </c>
      <c r="BW90" t="s">
        <v>238</v>
      </c>
      <c r="BX90">
        <v>46169</v>
      </c>
      <c r="BZ90" t="s">
        <v>94</v>
      </c>
      <c r="CA90">
        <v>46168</v>
      </c>
      <c r="CB90" s="2">
        <v>46171</v>
      </c>
      <c r="CC90" s="2">
        <v>46189</v>
      </c>
      <c r="CD90">
        <f>+VLOOKUP(C90,[1]Sheet1!$A$1:$AC$452,18,FALSE)</f>
        <v>1976</v>
      </c>
    </row>
    <row r="91" spans="1:82" x14ac:dyDescent="0.3">
      <c r="A91" t="s">
        <v>86</v>
      </c>
      <c r="B91">
        <v>20537</v>
      </c>
      <c r="C91">
        <v>448</v>
      </c>
      <c r="D91" s="1">
        <v>46169</v>
      </c>
      <c r="E91">
        <v>22</v>
      </c>
      <c r="F91">
        <v>5</v>
      </c>
      <c r="G91" s="1">
        <v>46189</v>
      </c>
      <c r="H91" t="s">
        <v>87</v>
      </c>
      <c r="I91" t="s">
        <v>88</v>
      </c>
      <c r="J91" t="s">
        <v>229</v>
      </c>
      <c r="K91">
        <v>19</v>
      </c>
      <c r="L91" t="s">
        <v>230</v>
      </c>
      <c r="M91">
        <v>173</v>
      </c>
      <c r="N91" t="s">
        <v>98</v>
      </c>
      <c r="O91" t="s">
        <v>231</v>
      </c>
      <c r="P91" t="s">
        <v>99</v>
      </c>
      <c r="Q91" t="s">
        <v>110</v>
      </c>
      <c r="R91" t="s">
        <v>232</v>
      </c>
      <c r="T91" t="s">
        <v>259</v>
      </c>
      <c r="U91" t="s">
        <v>259</v>
      </c>
      <c r="V91" t="s">
        <v>100</v>
      </c>
      <c r="W91" t="s">
        <v>142</v>
      </c>
      <c r="X91" t="s">
        <v>143</v>
      </c>
      <c r="Y91" t="s">
        <v>95</v>
      </c>
      <c r="Z91">
        <v>15</v>
      </c>
      <c r="AA91" t="s">
        <v>89</v>
      </c>
      <c r="AB91" t="s">
        <v>89</v>
      </c>
      <c r="AC91" t="s">
        <v>90</v>
      </c>
      <c r="AD91" t="s">
        <v>118</v>
      </c>
      <c r="AE91">
        <v>80</v>
      </c>
      <c r="AF91">
        <v>1200</v>
      </c>
      <c r="AG91">
        <v>10</v>
      </c>
      <c r="AK91" t="s">
        <v>235</v>
      </c>
      <c r="AM91" t="s">
        <v>96</v>
      </c>
      <c r="AN91" t="s">
        <v>93</v>
      </c>
      <c r="AO91" t="s">
        <v>124</v>
      </c>
      <c r="AV91" t="s">
        <v>120</v>
      </c>
      <c r="AW91" t="s">
        <v>236</v>
      </c>
      <c r="AY91" t="s">
        <v>112</v>
      </c>
      <c r="AZ91" s="1">
        <v>46171</v>
      </c>
      <c r="BA91" t="s">
        <v>145</v>
      </c>
      <c r="BB91">
        <v>448</v>
      </c>
      <c r="BF91" t="s">
        <v>100</v>
      </c>
      <c r="BG91">
        <v>19</v>
      </c>
      <c r="BH91" t="s">
        <v>102</v>
      </c>
      <c r="BJ91" t="s">
        <v>94</v>
      </c>
      <c r="BK91" t="s">
        <v>232</v>
      </c>
      <c r="BL91" t="s">
        <v>100</v>
      </c>
      <c r="BP91" t="s">
        <v>147</v>
      </c>
      <c r="BQ91">
        <v>478</v>
      </c>
      <c r="BR91" t="s">
        <v>113</v>
      </c>
      <c r="BS91" t="s">
        <v>127</v>
      </c>
      <c r="BT91" t="s">
        <v>103</v>
      </c>
      <c r="BU91" t="s">
        <v>114</v>
      </c>
      <c r="BV91" t="s">
        <v>237</v>
      </c>
      <c r="BW91" t="s">
        <v>238</v>
      </c>
      <c r="BX91">
        <v>46169</v>
      </c>
      <c r="BZ91" t="s">
        <v>94</v>
      </c>
      <c r="CA91">
        <v>46168</v>
      </c>
      <c r="CB91" s="2">
        <v>46171</v>
      </c>
      <c r="CC91" s="2">
        <v>46189</v>
      </c>
      <c r="CD91">
        <f>+VLOOKUP(C91,[1]Sheet1!$A$1:$AC$452,18,FALSE)</f>
        <v>1976</v>
      </c>
    </row>
    <row r="92" spans="1:82" x14ac:dyDescent="0.3">
      <c r="A92" t="s">
        <v>86</v>
      </c>
      <c r="B92">
        <v>20538</v>
      </c>
      <c r="C92">
        <v>449</v>
      </c>
      <c r="D92" s="1">
        <v>46171</v>
      </c>
      <c r="E92">
        <v>22</v>
      </c>
      <c r="F92">
        <v>5</v>
      </c>
      <c r="G92" s="1">
        <v>46197</v>
      </c>
      <c r="H92" t="s">
        <v>87</v>
      </c>
      <c r="I92" t="s">
        <v>88</v>
      </c>
      <c r="J92" t="s">
        <v>169</v>
      </c>
      <c r="K92">
        <v>11</v>
      </c>
      <c r="L92" t="s">
        <v>170</v>
      </c>
      <c r="M92">
        <v>346</v>
      </c>
      <c r="N92" t="s">
        <v>91</v>
      </c>
      <c r="O92" t="s">
        <v>108</v>
      </c>
      <c r="P92" t="s">
        <v>104</v>
      </c>
      <c r="R92" t="s">
        <v>260</v>
      </c>
      <c r="T92" t="s">
        <v>261</v>
      </c>
      <c r="U92" t="s">
        <v>261</v>
      </c>
      <c r="V92" t="s">
        <v>100</v>
      </c>
      <c r="W92" t="s">
        <v>142</v>
      </c>
      <c r="X92" t="s">
        <v>174</v>
      </c>
      <c r="Y92" t="s">
        <v>175</v>
      </c>
      <c r="Z92">
        <v>15</v>
      </c>
      <c r="AA92" t="s">
        <v>89</v>
      </c>
      <c r="AB92" t="s">
        <v>89</v>
      </c>
      <c r="AC92" t="s">
        <v>90</v>
      </c>
      <c r="AD92" t="s">
        <v>105</v>
      </c>
      <c r="AE92">
        <v>60</v>
      </c>
      <c r="AF92">
        <v>900</v>
      </c>
      <c r="AG92">
        <v>10</v>
      </c>
      <c r="AK92" t="s">
        <v>263</v>
      </c>
      <c r="AM92" t="s">
        <v>92</v>
      </c>
      <c r="AN92" t="s">
        <v>93</v>
      </c>
      <c r="AO92" t="s">
        <v>177</v>
      </c>
      <c r="AV92" t="s">
        <v>264</v>
      </c>
      <c r="AW92" t="s">
        <v>265</v>
      </c>
      <c r="AY92" t="s">
        <v>179</v>
      </c>
      <c r="AZ92" s="1">
        <v>46173</v>
      </c>
      <c r="BA92" t="s">
        <v>145</v>
      </c>
      <c r="BB92">
        <v>449</v>
      </c>
      <c r="BF92" t="s">
        <v>100</v>
      </c>
      <c r="BG92">
        <v>19</v>
      </c>
      <c r="BH92" t="s">
        <v>102</v>
      </c>
      <c r="BJ92" t="s">
        <v>94</v>
      </c>
      <c r="BK92" t="s">
        <v>260</v>
      </c>
      <c r="BL92" t="s">
        <v>100</v>
      </c>
      <c r="BP92" t="s">
        <v>147</v>
      </c>
      <c r="BQ92">
        <v>479</v>
      </c>
      <c r="BR92" t="s">
        <v>113</v>
      </c>
      <c r="BS92" t="s">
        <v>180</v>
      </c>
      <c r="BT92" t="s">
        <v>103</v>
      </c>
      <c r="BU92" t="s">
        <v>97</v>
      </c>
      <c r="BV92" t="s">
        <v>266</v>
      </c>
      <c r="BW92" t="s">
        <v>267</v>
      </c>
      <c r="BX92">
        <v>46171</v>
      </c>
      <c r="BZ92" t="s">
        <v>94</v>
      </c>
      <c r="CA92">
        <v>46167</v>
      </c>
      <c r="CB92" s="2">
        <v>46173</v>
      </c>
      <c r="CC92" s="2">
        <v>46197</v>
      </c>
      <c r="CD92">
        <f>+VLOOKUP(C92,[1]Sheet1!$A$1:$AC$452,18,FALSE)</f>
        <v>1977</v>
      </c>
    </row>
    <row r="93" spans="1:82" x14ac:dyDescent="0.3">
      <c r="A93" t="s">
        <v>86</v>
      </c>
      <c r="B93">
        <v>20539</v>
      </c>
      <c r="C93">
        <v>449</v>
      </c>
      <c r="D93" s="1">
        <v>46171</v>
      </c>
      <c r="E93">
        <v>22</v>
      </c>
      <c r="F93">
        <v>5</v>
      </c>
      <c r="G93" s="1">
        <v>46197</v>
      </c>
      <c r="H93" t="s">
        <v>87</v>
      </c>
      <c r="I93" t="s">
        <v>88</v>
      </c>
      <c r="J93" t="s">
        <v>169</v>
      </c>
      <c r="K93">
        <v>11</v>
      </c>
      <c r="L93" t="s">
        <v>170</v>
      </c>
      <c r="M93">
        <v>346</v>
      </c>
      <c r="N93" t="s">
        <v>91</v>
      </c>
      <c r="O93" t="s">
        <v>108</v>
      </c>
      <c r="P93" t="s">
        <v>104</v>
      </c>
      <c r="R93" t="s">
        <v>260</v>
      </c>
      <c r="T93" t="s">
        <v>268</v>
      </c>
      <c r="U93" t="s">
        <v>268</v>
      </c>
      <c r="V93" t="s">
        <v>100</v>
      </c>
      <c r="W93" t="s">
        <v>142</v>
      </c>
      <c r="X93" t="s">
        <v>174</v>
      </c>
      <c r="Y93" t="s">
        <v>175</v>
      </c>
      <c r="Z93">
        <v>15</v>
      </c>
      <c r="AA93" t="s">
        <v>89</v>
      </c>
      <c r="AB93" t="s">
        <v>89</v>
      </c>
      <c r="AC93" t="s">
        <v>90</v>
      </c>
      <c r="AD93" t="s">
        <v>107</v>
      </c>
      <c r="AE93">
        <v>60</v>
      </c>
      <c r="AF93">
        <v>900</v>
      </c>
      <c r="AG93">
        <v>10</v>
      </c>
      <c r="AK93" t="s">
        <v>263</v>
      </c>
      <c r="AM93" t="s">
        <v>92</v>
      </c>
      <c r="AN93" t="s">
        <v>93</v>
      </c>
      <c r="AO93" t="s">
        <v>177</v>
      </c>
      <c r="AV93" t="s">
        <v>264</v>
      </c>
      <c r="AW93" t="s">
        <v>265</v>
      </c>
      <c r="AY93" t="s">
        <v>179</v>
      </c>
      <c r="AZ93" s="1">
        <v>46173</v>
      </c>
      <c r="BA93" t="s">
        <v>145</v>
      </c>
      <c r="BB93">
        <v>449</v>
      </c>
      <c r="BF93" t="s">
        <v>100</v>
      </c>
      <c r="BG93">
        <v>19</v>
      </c>
      <c r="BH93" t="s">
        <v>102</v>
      </c>
      <c r="BJ93" t="s">
        <v>94</v>
      </c>
      <c r="BK93" t="s">
        <v>260</v>
      </c>
      <c r="BL93" t="s">
        <v>100</v>
      </c>
      <c r="BP93" t="s">
        <v>147</v>
      </c>
      <c r="BQ93">
        <v>479</v>
      </c>
      <c r="BR93" t="s">
        <v>113</v>
      </c>
      <c r="BS93" t="s">
        <v>180</v>
      </c>
      <c r="BT93" t="s">
        <v>103</v>
      </c>
      <c r="BU93" t="s">
        <v>97</v>
      </c>
      <c r="BV93" t="s">
        <v>266</v>
      </c>
      <c r="BW93" t="s">
        <v>267</v>
      </c>
      <c r="BX93">
        <v>46171</v>
      </c>
      <c r="BZ93" t="s">
        <v>94</v>
      </c>
      <c r="CA93">
        <v>46167</v>
      </c>
      <c r="CB93" s="2">
        <v>46173</v>
      </c>
      <c r="CC93" s="2">
        <v>46197</v>
      </c>
      <c r="CD93">
        <f>+VLOOKUP(C93,[1]Sheet1!$A$1:$AC$452,18,FALSE)</f>
        <v>1977</v>
      </c>
    </row>
    <row r="94" spans="1:82" x14ac:dyDescent="0.3">
      <c r="A94" t="s">
        <v>86</v>
      </c>
      <c r="B94">
        <v>20540</v>
      </c>
      <c r="C94">
        <v>449</v>
      </c>
      <c r="D94" s="1">
        <v>46171</v>
      </c>
      <c r="E94">
        <v>22</v>
      </c>
      <c r="F94">
        <v>5</v>
      </c>
      <c r="G94" s="1">
        <v>46197</v>
      </c>
      <c r="H94" t="s">
        <v>87</v>
      </c>
      <c r="I94" t="s">
        <v>88</v>
      </c>
      <c r="J94" t="s">
        <v>169</v>
      </c>
      <c r="K94">
        <v>11</v>
      </c>
      <c r="L94" t="s">
        <v>170</v>
      </c>
      <c r="M94">
        <v>346</v>
      </c>
      <c r="N94" t="s">
        <v>91</v>
      </c>
      <c r="O94" t="s">
        <v>108</v>
      </c>
      <c r="P94" t="s">
        <v>104</v>
      </c>
      <c r="R94" t="s">
        <v>260</v>
      </c>
      <c r="T94" t="s">
        <v>269</v>
      </c>
      <c r="U94" t="s">
        <v>269</v>
      </c>
      <c r="V94" t="s">
        <v>100</v>
      </c>
      <c r="W94" t="s">
        <v>142</v>
      </c>
      <c r="X94" t="s">
        <v>174</v>
      </c>
      <c r="Y94" t="s">
        <v>175</v>
      </c>
      <c r="Z94">
        <v>15</v>
      </c>
      <c r="AA94" t="s">
        <v>89</v>
      </c>
      <c r="AB94" t="s">
        <v>89</v>
      </c>
      <c r="AC94" t="s">
        <v>90</v>
      </c>
      <c r="AD94" t="s">
        <v>105</v>
      </c>
      <c r="AE94">
        <v>2</v>
      </c>
      <c r="AF94">
        <v>30</v>
      </c>
      <c r="AG94">
        <v>10</v>
      </c>
      <c r="AK94" t="s">
        <v>263</v>
      </c>
      <c r="AM94" t="s">
        <v>92</v>
      </c>
      <c r="AN94" t="s">
        <v>93</v>
      </c>
      <c r="AO94" t="s">
        <v>177</v>
      </c>
      <c r="AV94" t="s">
        <v>264</v>
      </c>
      <c r="AW94" t="s">
        <v>265</v>
      </c>
      <c r="AY94" t="s">
        <v>179</v>
      </c>
      <c r="AZ94" s="1">
        <v>46173</v>
      </c>
      <c r="BA94" t="s">
        <v>145</v>
      </c>
      <c r="BB94">
        <v>449</v>
      </c>
      <c r="BF94" t="s">
        <v>100</v>
      </c>
      <c r="BG94">
        <v>19</v>
      </c>
      <c r="BH94" t="s">
        <v>102</v>
      </c>
      <c r="BJ94" t="s">
        <v>94</v>
      </c>
      <c r="BK94" t="s">
        <v>260</v>
      </c>
      <c r="BL94" t="s">
        <v>100</v>
      </c>
      <c r="BP94" t="s">
        <v>147</v>
      </c>
      <c r="BQ94">
        <v>479</v>
      </c>
      <c r="BR94" t="s">
        <v>113</v>
      </c>
      <c r="BS94" t="s">
        <v>180</v>
      </c>
      <c r="BT94" t="s">
        <v>103</v>
      </c>
      <c r="BU94" t="s">
        <v>97</v>
      </c>
      <c r="BV94" t="s">
        <v>266</v>
      </c>
      <c r="BW94" t="s">
        <v>267</v>
      </c>
      <c r="BX94">
        <v>46171</v>
      </c>
      <c r="BZ94" t="s">
        <v>94</v>
      </c>
      <c r="CA94">
        <v>46167</v>
      </c>
      <c r="CB94" s="2">
        <v>46173</v>
      </c>
      <c r="CC94" s="2">
        <v>46197</v>
      </c>
      <c r="CD94">
        <f>+VLOOKUP(C94,[1]Sheet1!$A$1:$AC$452,18,FALSE)</f>
        <v>1977</v>
      </c>
    </row>
    <row r="95" spans="1:82" x14ac:dyDescent="0.3">
      <c r="A95" t="s">
        <v>86</v>
      </c>
      <c r="B95">
        <v>20541</v>
      </c>
      <c r="C95">
        <v>449</v>
      </c>
      <c r="D95" s="1">
        <v>46171</v>
      </c>
      <c r="E95">
        <v>22</v>
      </c>
      <c r="F95">
        <v>5</v>
      </c>
      <c r="G95" s="1">
        <v>46197</v>
      </c>
      <c r="H95" t="s">
        <v>87</v>
      </c>
      <c r="I95" t="s">
        <v>88</v>
      </c>
      <c r="J95" t="s">
        <v>169</v>
      </c>
      <c r="K95">
        <v>11</v>
      </c>
      <c r="L95" t="s">
        <v>170</v>
      </c>
      <c r="M95">
        <v>346</v>
      </c>
      <c r="N95" t="s">
        <v>91</v>
      </c>
      <c r="O95" t="s">
        <v>108</v>
      </c>
      <c r="P95" t="s">
        <v>104</v>
      </c>
      <c r="R95" t="s">
        <v>260</v>
      </c>
      <c r="T95" t="s">
        <v>269</v>
      </c>
      <c r="U95" t="s">
        <v>269</v>
      </c>
      <c r="V95" t="s">
        <v>100</v>
      </c>
      <c r="W95" t="s">
        <v>142</v>
      </c>
      <c r="X95" t="s">
        <v>174</v>
      </c>
      <c r="Y95" t="s">
        <v>175</v>
      </c>
      <c r="Z95">
        <v>15</v>
      </c>
      <c r="AA95" t="s">
        <v>89</v>
      </c>
      <c r="AB95" t="s">
        <v>89</v>
      </c>
      <c r="AC95" t="s">
        <v>90</v>
      </c>
      <c r="AD95" t="s">
        <v>105</v>
      </c>
      <c r="AE95">
        <v>46</v>
      </c>
      <c r="AF95">
        <v>690</v>
      </c>
      <c r="AG95">
        <v>10</v>
      </c>
      <c r="AK95" t="s">
        <v>263</v>
      </c>
      <c r="AM95" t="s">
        <v>92</v>
      </c>
      <c r="AN95" t="s">
        <v>93</v>
      </c>
      <c r="AO95" t="s">
        <v>177</v>
      </c>
      <c r="AV95" t="s">
        <v>264</v>
      </c>
      <c r="AW95" t="s">
        <v>265</v>
      </c>
      <c r="AY95" t="s">
        <v>179</v>
      </c>
      <c r="AZ95" s="1">
        <v>46173</v>
      </c>
      <c r="BA95" t="s">
        <v>145</v>
      </c>
      <c r="BB95">
        <v>449</v>
      </c>
      <c r="BF95" t="s">
        <v>100</v>
      </c>
      <c r="BG95">
        <v>19</v>
      </c>
      <c r="BH95" t="s">
        <v>102</v>
      </c>
      <c r="BJ95" t="s">
        <v>94</v>
      </c>
      <c r="BK95" t="s">
        <v>260</v>
      </c>
      <c r="BL95" t="s">
        <v>100</v>
      </c>
      <c r="BP95" t="s">
        <v>147</v>
      </c>
      <c r="BQ95">
        <v>479</v>
      </c>
      <c r="BR95" t="s">
        <v>113</v>
      </c>
      <c r="BS95" t="s">
        <v>180</v>
      </c>
      <c r="BT95" t="s">
        <v>103</v>
      </c>
      <c r="BU95" t="s">
        <v>97</v>
      </c>
      <c r="BV95" t="s">
        <v>266</v>
      </c>
      <c r="BW95" t="s">
        <v>267</v>
      </c>
      <c r="BX95">
        <v>46171</v>
      </c>
      <c r="BZ95" t="s">
        <v>94</v>
      </c>
      <c r="CA95">
        <v>46167</v>
      </c>
      <c r="CB95" s="2">
        <v>46173</v>
      </c>
      <c r="CC95" s="2">
        <v>46197</v>
      </c>
      <c r="CD95">
        <f>+VLOOKUP(C95,[1]Sheet1!$A$1:$AC$452,18,FALSE)</f>
        <v>1977</v>
      </c>
    </row>
    <row r="96" spans="1:82" x14ac:dyDescent="0.3">
      <c r="A96" t="s">
        <v>86</v>
      </c>
      <c r="B96">
        <v>20542</v>
      </c>
      <c r="C96">
        <v>449</v>
      </c>
      <c r="D96" s="1">
        <v>46171</v>
      </c>
      <c r="E96">
        <v>22</v>
      </c>
      <c r="F96">
        <v>5</v>
      </c>
      <c r="G96" s="1">
        <v>46197</v>
      </c>
      <c r="H96" t="s">
        <v>87</v>
      </c>
      <c r="I96" t="s">
        <v>88</v>
      </c>
      <c r="J96" t="s">
        <v>169</v>
      </c>
      <c r="K96">
        <v>11</v>
      </c>
      <c r="L96" t="s">
        <v>170</v>
      </c>
      <c r="M96">
        <v>346</v>
      </c>
      <c r="N96" t="s">
        <v>91</v>
      </c>
      <c r="O96" t="s">
        <v>108</v>
      </c>
      <c r="P96" t="s">
        <v>104</v>
      </c>
      <c r="R96" t="s">
        <v>260</v>
      </c>
      <c r="T96" t="s">
        <v>269</v>
      </c>
      <c r="U96" t="s">
        <v>269</v>
      </c>
      <c r="V96" t="s">
        <v>100</v>
      </c>
      <c r="W96" t="s">
        <v>142</v>
      </c>
      <c r="X96" t="s">
        <v>174</v>
      </c>
      <c r="Y96" t="s">
        <v>175</v>
      </c>
      <c r="Z96">
        <v>15</v>
      </c>
      <c r="AA96" t="s">
        <v>89</v>
      </c>
      <c r="AB96" t="s">
        <v>89</v>
      </c>
      <c r="AC96" t="s">
        <v>90</v>
      </c>
      <c r="AD96" t="s">
        <v>105</v>
      </c>
      <c r="AE96">
        <v>12</v>
      </c>
      <c r="AF96">
        <v>180</v>
      </c>
      <c r="AG96">
        <v>10</v>
      </c>
      <c r="AK96" t="s">
        <v>263</v>
      </c>
      <c r="AM96" t="s">
        <v>92</v>
      </c>
      <c r="AN96" t="s">
        <v>93</v>
      </c>
      <c r="AO96" t="s">
        <v>177</v>
      </c>
      <c r="AV96" t="s">
        <v>264</v>
      </c>
      <c r="AW96" t="s">
        <v>265</v>
      </c>
      <c r="AY96" t="s">
        <v>179</v>
      </c>
      <c r="AZ96" s="1">
        <v>46173</v>
      </c>
      <c r="BA96" t="s">
        <v>145</v>
      </c>
      <c r="BB96">
        <v>449</v>
      </c>
      <c r="BF96" t="s">
        <v>100</v>
      </c>
      <c r="BG96">
        <v>19</v>
      </c>
      <c r="BH96" t="s">
        <v>102</v>
      </c>
      <c r="BJ96" t="s">
        <v>94</v>
      </c>
      <c r="BK96" t="s">
        <v>260</v>
      </c>
      <c r="BL96" t="s">
        <v>100</v>
      </c>
      <c r="BP96" t="s">
        <v>147</v>
      </c>
      <c r="BQ96">
        <v>479</v>
      </c>
      <c r="BR96" t="s">
        <v>113</v>
      </c>
      <c r="BS96" t="s">
        <v>180</v>
      </c>
      <c r="BT96" t="s">
        <v>103</v>
      </c>
      <c r="BU96" t="s">
        <v>97</v>
      </c>
      <c r="BV96" t="s">
        <v>266</v>
      </c>
      <c r="BW96" t="s">
        <v>267</v>
      </c>
      <c r="BX96">
        <v>46171</v>
      </c>
      <c r="BZ96" t="s">
        <v>94</v>
      </c>
      <c r="CA96">
        <v>46167</v>
      </c>
      <c r="CB96" s="2">
        <v>46173</v>
      </c>
      <c r="CC96" s="2">
        <v>46197</v>
      </c>
      <c r="CD96">
        <f>+VLOOKUP(C96,[1]Sheet1!$A$1:$AC$452,18,FALSE)</f>
        <v>1977</v>
      </c>
    </row>
    <row r="97" spans="1:82" x14ac:dyDescent="0.3">
      <c r="A97" t="s">
        <v>86</v>
      </c>
      <c r="B97">
        <v>20543</v>
      </c>
      <c r="C97">
        <v>449</v>
      </c>
      <c r="D97" s="1">
        <v>46171</v>
      </c>
      <c r="E97">
        <v>22</v>
      </c>
      <c r="F97">
        <v>5</v>
      </c>
      <c r="G97" s="1">
        <v>46197</v>
      </c>
      <c r="H97" t="s">
        <v>87</v>
      </c>
      <c r="I97" t="s">
        <v>88</v>
      </c>
      <c r="J97" t="s">
        <v>169</v>
      </c>
      <c r="K97">
        <v>11</v>
      </c>
      <c r="L97" t="s">
        <v>170</v>
      </c>
      <c r="M97">
        <v>346</v>
      </c>
      <c r="N97" t="s">
        <v>91</v>
      </c>
      <c r="O97" t="s">
        <v>108</v>
      </c>
      <c r="P97" t="s">
        <v>104</v>
      </c>
      <c r="R97" t="s">
        <v>260</v>
      </c>
      <c r="T97" t="s">
        <v>270</v>
      </c>
      <c r="U97" t="s">
        <v>270</v>
      </c>
      <c r="V97" t="s">
        <v>100</v>
      </c>
      <c r="W97" t="s">
        <v>142</v>
      </c>
      <c r="X97" t="s">
        <v>174</v>
      </c>
      <c r="Y97" t="s">
        <v>175</v>
      </c>
      <c r="Z97">
        <v>15</v>
      </c>
      <c r="AA97" t="s">
        <v>89</v>
      </c>
      <c r="AB97" t="s">
        <v>89</v>
      </c>
      <c r="AC97" t="s">
        <v>90</v>
      </c>
      <c r="AD97" t="s">
        <v>107</v>
      </c>
      <c r="AE97">
        <v>52</v>
      </c>
      <c r="AF97">
        <v>780</v>
      </c>
      <c r="AG97">
        <v>10</v>
      </c>
      <c r="AK97" t="s">
        <v>263</v>
      </c>
      <c r="AM97" t="s">
        <v>92</v>
      </c>
      <c r="AN97" t="s">
        <v>93</v>
      </c>
      <c r="AO97" t="s">
        <v>177</v>
      </c>
      <c r="AV97" t="s">
        <v>264</v>
      </c>
      <c r="AW97" t="s">
        <v>265</v>
      </c>
      <c r="AY97" t="s">
        <v>179</v>
      </c>
      <c r="AZ97" s="1">
        <v>46173</v>
      </c>
      <c r="BA97" t="s">
        <v>145</v>
      </c>
      <c r="BB97">
        <v>449</v>
      </c>
      <c r="BF97" t="s">
        <v>100</v>
      </c>
      <c r="BG97">
        <v>19</v>
      </c>
      <c r="BH97" t="s">
        <v>102</v>
      </c>
      <c r="BJ97" t="s">
        <v>94</v>
      </c>
      <c r="BK97" t="s">
        <v>260</v>
      </c>
      <c r="BL97" t="s">
        <v>100</v>
      </c>
      <c r="BP97" t="s">
        <v>147</v>
      </c>
      <c r="BQ97">
        <v>479</v>
      </c>
      <c r="BR97" t="s">
        <v>113</v>
      </c>
      <c r="BS97" t="s">
        <v>180</v>
      </c>
      <c r="BT97" t="s">
        <v>103</v>
      </c>
      <c r="BU97" t="s">
        <v>97</v>
      </c>
      <c r="BV97" t="s">
        <v>266</v>
      </c>
      <c r="BW97" t="s">
        <v>267</v>
      </c>
      <c r="BX97">
        <v>46171</v>
      </c>
      <c r="BZ97" t="s">
        <v>94</v>
      </c>
      <c r="CA97">
        <v>46167</v>
      </c>
      <c r="CB97" s="2">
        <v>46173</v>
      </c>
      <c r="CC97" s="2">
        <v>46197</v>
      </c>
      <c r="CD97">
        <f>+VLOOKUP(C97,[1]Sheet1!$A$1:$AC$452,18,FALSE)</f>
        <v>1977</v>
      </c>
    </row>
    <row r="98" spans="1:82" x14ac:dyDescent="0.3">
      <c r="A98" t="s">
        <v>86</v>
      </c>
      <c r="B98">
        <v>20544</v>
      </c>
      <c r="C98">
        <v>449</v>
      </c>
      <c r="D98" s="1">
        <v>46171</v>
      </c>
      <c r="E98">
        <v>22</v>
      </c>
      <c r="F98">
        <v>5</v>
      </c>
      <c r="G98" s="1">
        <v>46197</v>
      </c>
      <c r="H98" t="s">
        <v>87</v>
      </c>
      <c r="I98" t="s">
        <v>88</v>
      </c>
      <c r="J98" t="s">
        <v>169</v>
      </c>
      <c r="K98">
        <v>11</v>
      </c>
      <c r="L98" t="s">
        <v>170</v>
      </c>
      <c r="M98">
        <v>346</v>
      </c>
      <c r="N98" t="s">
        <v>91</v>
      </c>
      <c r="O98" t="s">
        <v>108</v>
      </c>
      <c r="P98" t="s">
        <v>104</v>
      </c>
      <c r="R98" t="s">
        <v>260</v>
      </c>
      <c r="T98" t="s">
        <v>270</v>
      </c>
      <c r="U98" t="s">
        <v>270</v>
      </c>
      <c r="V98" t="s">
        <v>100</v>
      </c>
      <c r="W98" t="s">
        <v>142</v>
      </c>
      <c r="X98" t="s">
        <v>174</v>
      </c>
      <c r="Y98" t="s">
        <v>175</v>
      </c>
      <c r="Z98">
        <v>15</v>
      </c>
      <c r="AA98" t="s">
        <v>89</v>
      </c>
      <c r="AB98" t="s">
        <v>89</v>
      </c>
      <c r="AC98" t="s">
        <v>90</v>
      </c>
      <c r="AD98" t="s">
        <v>107</v>
      </c>
      <c r="AE98">
        <v>8</v>
      </c>
      <c r="AF98">
        <v>120</v>
      </c>
      <c r="AG98">
        <v>10</v>
      </c>
      <c r="AK98" t="s">
        <v>263</v>
      </c>
      <c r="AM98" t="s">
        <v>92</v>
      </c>
      <c r="AN98" t="s">
        <v>93</v>
      </c>
      <c r="AO98" t="s">
        <v>177</v>
      </c>
      <c r="AV98" t="s">
        <v>264</v>
      </c>
      <c r="AW98" t="s">
        <v>265</v>
      </c>
      <c r="AY98" t="s">
        <v>179</v>
      </c>
      <c r="AZ98" s="1">
        <v>46173</v>
      </c>
      <c r="BA98" t="s">
        <v>145</v>
      </c>
      <c r="BB98">
        <v>449</v>
      </c>
      <c r="BF98" t="s">
        <v>100</v>
      </c>
      <c r="BG98">
        <v>19</v>
      </c>
      <c r="BH98" t="s">
        <v>102</v>
      </c>
      <c r="BJ98" t="s">
        <v>94</v>
      </c>
      <c r="BK98" t="s">
        <v>260</v>
      </c>
      <c r="BL98" t="s">
        <v>100</v>
      </c>
      <c r="BP98" t="s">
        <v>147</v>
      </c>
      <c r="BQ98">
        <v>479</v>
      </c>
      <c r="BR98" t="s">
        <v>113</v>
      </c>
      <c r="BS98" t="s">
        <v>180</v>
      </c>
      <c r="BT98" t="s">
        <v>103</v>
      </c>
      <c r="BU98" t="s">
        <v>97</v>
      </c>
      <c r="BV98" t="s">
        <v>266</v>
      </c>
      <c r="BW98" t="s">
        <v>267</v>
      </c>
      <c r="BX98">
        <v>46171</v>
      </c>
      <c r="BZ98" t="s">
        <v>94</v>
      </c>
      <c r="CA98">
        <v>46167</v>
      </c>
      <c r="CB98" s="2">
        <v>46173</v>
      </c>
      <c r="CC98" s="2">
        <v>46197</v>
      </c>
      <c r="CD98">
        <f>+VLOOKUP(C98,[1]Sheet1!$A$1:$AC$452,18,FALSE)</f>
        <v>1977</v>
      </c>
    </row>
    <row r="99" spans="1:82" x14ac:dyDescent="0.3">
      <c r="A99" t="s">
        <v>86</v>
      </c>
      <c r="B99">
        <v>20545</v>
      </c>
      <c r="C99">
        <v>449</v>
      </c>
      <c r="D99" s="1">
        <v>46171</v>
      </c>
      <c r="E99">
        <v>22</v>
      </c>
      <c r="F99">
        <v>5</v>
      </c>
      <c r="G99" s="1">
        <v>46197</v>
      </c>
      <c r="H99" t="s">
        <v>87</v>
      </c>
      <c r="I99" t="s">
        <v>88</v>
      </c>
      <c r="J99" t="s">
        <v>169</v>
      </c>
      <c r="K99">
        <v>11</v>
      </c>
      <c r="L99" t="s">
        <v>170</v>
      </c>
      <c r="M99">
        <v>346</v>
      </c>
      <c r="N99" t="s">
        <v>91</v>
      </c>
      <c r="O99" t="s">
        <v>108</v>
      </c>
      <c r="P99" t="s">
        <v>104</v>
      </c>
      <c r="R99" t="s">
        <v>260</v>
      </c>
      <c r="T99" t="s">
        <v>271</v>
      </c>
      <c r="U99" t="s">
        <v>271</v>
      </c>
      <c r="V99" t="s">
        <v>100</v>
      </c>
      <c r="W99" t="s">
        <v>142</v>
      </c>
      <c r="X99" t="s">
        <v>174</v>
      </c>
      <c r="Y99" t="s">
        <v>175</v>
      </c>
      <c r="Z99">
        <v>15</v>
      </c>
      <c r="AA99" t="s">
        <v>89</v>
      </c>
      <c r="AB99" t="s">
        <v>89</v>
      </c>
      <c r="AC99" t="s">
        <v>90</v>
      </c>
      <c r="AD99" t="s">
        <v>107</v>
      </c>
      <c r="AE99">
        <v>60</v>
      </c>
      <c r="AF99">
        <v>900</v>
      </c>
      <c r="AG99">
        <v>10</v>
      </c>
      <c r="AK99" t="s">
        <v>263</v>
      </c>
      <c r="AM99" t="s">
        <v>92</v>
      </c>
      <c r="AN99" t="s">
        <v>93</v>
      </c>
      <c r="AO99" t="s">
        <v>177</v>
      </c>
      <c r="AV99" t="s">
        <v>264</v>
      </c>
      <c r="AW99" t="s">
        <v>265</v>
      </c>
      <c r="AY99" t="s">
        <v>179</v>
      </c>
      <c r="AZ99" s="1">
        <v>46173</v>
      </c>
      <c r="BA99" t="s">
        <v>145</v>
      </c>
      <c r="BB99">
        <v>449</v>
      </c>
      <c r="BF99" t="s">
        <v>100</v>
      </c>
      <c r="BG99">
        <v>19</v>
      </c>
      <c r="BH99" t="s">
        <v>102</v>
      </c>
      <c r="BJ99" t="s">
        <v>94</v>
      </c>
      <c r="BK99" t="s">
        <v>260</v>
      </c>
      <c r="BL99" t="s">
        <v>100</v>
      </c>
      <c r="BP99" t="s">
        <v>147</v>
      </c>
      <c r="BQ99">
        <v>479</v>
      </c>
      <c r="BR99" t="s">
        <v>113</v>
      </c>
      <c r="BS99" t="s">
        <v>180</v>
      </c>
      <c r="BT99" t="s">
        <v>103</v>
      </c>
      <c r="BU99" t="s">
        <v>97</v>
      </c>
      <c r="BV99" t="s">
        <v>266</v>
      </c>
      <c r="BW99" t="s">
        <v>267</v>
      </c>
      <c r="BX99">
        <v>46171</v>
      </c>
      <c r="BZ99" t="s">
        <v>94</v>
      </c>
      <c r="CA99">
        <v>46167</v>
      </c>
      <c r="CB99" s="2">
        <v>46173</v>
      </c>
      <c r="CC99" s="2">
        <v>46197</v>
      </c>
      <c r="CD99">
        <f>+VLOOKUP(C99,[1]Sheet1!$A$1:$AC$452,18,FALSE)</f>
        <v>1977</v>
      </c>
    </row>
    <row r="100" spans="1:82" x14ac:dyDescent="0.3">
      <c r="A100" t="s">
        <v>86</v>
      </c>
      <c r="B100">
        <v>20546</v>
      </c>
      <c r="C100">
        <v>449</v>
      </c>
      <c r="D100" s="1">
        <v>46171</v>
      </c>
      <c r="E100">
        <v>22</v>
      </c>
      <c r="F100">
        <v>5</v>
      </c>
      <c r="G100" s="1">
        <v>46197</v>
      </c>
      <c r="H100" t="s">
        <v>87</v>
      </c>
      <c r="I100" t="s">
        <v>88</v>
      </c>
      <c r="J100" t="s">
        <v>169</v>
      </c>
      <c r="K100">
        <v>11</v>
      </c>
      <c r="L100" t="s">
        <v>170</v>
      </c>
      <c r="M100">
        <v>346</v>
      </c>
      <c r="N100" t="s">
        <v>91</v>
      </c>
      <c r="O100" t="s">
        <v>108</v>
      </c>
      <c r="P100" t="s">
        <v>104</v>
      </c>
      <c r="R100" t="s">
        <v>260</v>
      </c>
      <c r="T100" t="s">
        <v>272</v>
      </c>
      <c r="U100" t="s">
        <v>272</v>
      </c>
      <c r="V100" t="s">
        <v>100</v>
      </c>
      <c r="W100" t="s">
        <v>142</v>
      </c>
      <c r="X100" t="s">
        <v>174</v>
      </c>
      <c r="Y100" t="s">
        <v>175</v>
      </c>
      <c r="Z100">
        <v>15</v>
      </c>
      <c r="AA100" t="s">
        <v>89</v>
      </c>
      <c r="AB100" t="s">
        <v>89</v>
      </c>
      <c r="AC100" t="s">
        <v>90</v>
      </c>
      <c r="AD100" t="s">
        <v>105</v>
      </c>
      <c r="AE100">
        <v>24</v>
      </c>
      <c r="AF100">
        <v>360</v>
      </c>
      <c r="AG100">
        <v>10</v>
      </c>
      <c r="AK100" t="s">
        <v>263</v>
      </c>
      <c r="AM100" t="s">
        <v>92</v>
      </c>
      <c r="AN100" t="s">
        <v>93</v>
      </c>
      <c r="AO100" t="s">
        <v>177</v>
      </c>
      <c r="AV100" t="s">
        <v>264</v>
      </c>
      <c r="AW100" t="s">
        <v>265</v>
      </c>
      <c r="AY100" t="s">
        <v>179</v>
      </c>
      <c r="AZ100" s="1">
        <v>46173</v>
      </c>
      <c r="BA100" t="s">
        <v>145</v>
      </c>
      <c r="BB100">
        <v>449</v>
      </c>
      <c r="BF100" t="s">
        <v>100</v>
      </c>
      <c r="BG100">
        <v>19</v>
      </c>
      <c r="BH100" t="s">
        <v>102</v>
      </c>
      <c r="BJ100" t="s">
        <v>94</v>
      </c>
      <c r="BK100" t="s">
        <v>260</v>
      </c>
      <c r="BL100" t="s">
        <v>100</v>
      </c>
      <c r="BP100" t="s">
        <v>147</v>
      </c>
      <c r="BQ100">
        <v>479</v>
      </c>
      <c r="BR100" t="s">
        <v>113</v>
      </c>
      <c r="BS100" t="s">
        <v>180</v>
      </c>
      <c r="BT100" t="s">
        <v>103</v>
      </c>
      <c r="BU100" t="s">
        <v>97</v>
      </c>
      <c r="BV100" t="s">
        <v>266</v>
      </c>
      <c r="BW100" t="s">
        <v>267</v>
      </c>
      <c r="BX100">
        <v>46171</v>
      </c>
      <c r="BZ100" t="s">
        <v>94</v>
      </c>
      <c r="CA100">
        <v>46167</v>
      </c>
      <c r="CB100" s="2">
        <v>46173</v>
      </c>
      <c r="CC100" s="2">
        <v>46197</v>
      </c>
      <c r="CD100">
        <f>+VLOOKUP(C100,[1]Sheet1!$A$1:$AC$452,18,FALSE)</f>
        <v>1977</v>
      </c>
    </row>
    <row r="101" spans="1:82" x14ac:dyDescent="0.3">
      <c r="A101" t="s">
        <v>86</v>
      </c>
      <c r="B101">
        <v>20547</v>
      </c>
      <c r="C101">
        <v>449</v>
      </c>
      <c r="D101" s="1">
        <v>46171</v>
      </c>
      <c r="E101">
        <v>22</v>
      </c>
      <c r="F101">
        <v>5</v>
      </c>
      <c r="G101" s="1">
        <v>46197</v>
      </c>
      <c r="H101" t="s">
        <v>87</v>
      </c>
      <c r="I101" t="s">
        <v>88</v>
      </c>
      <c r="J101" t="s">
        <v>169</v>
      </c>
      <c r="K101">
        <v>11</v>
      </c>
      <c r="L101" t="s">
        <v>170</v>
      </c>
      <c r="M101">
        <v>346</v>
      </c>
      <c r="N101" t="s">
        <v>91</v>
      </c>
      <c r="O101" t="s">
        <v>108</v>
      </c>
      <c r="P101" t="s">
        <v>104</v>
      </c>
      <c r="R101" t="s">
        <v>260</v>
      </c>
      <c r="T101" t="s">
        <v>272</v>
      </c>
      <c r="U101" t="s">
        <v>272</v>
      </c>
      <c r="V101" t="s">
        <v>100</v>
      </c>
      <c r="W101" t="s">
        <v>142</v>
      </c>
      <c r="X101" t="s">
        <v>174</v>
      </c>
      <c r="Y101" t="s">
        <v>175</v>
      </c>
      <c r="Z101">
        <v>15</v>
      </c>
      <c r="AA101" t="s">
        <v>89</v>
      </c>
      <c r="AB101" t="s">
        <v>89</v>
      </c>
      <c r="AC101" t="s">
        <v>90</v>
      </c>
      <c r="AD101" t="s">
        <v>105</v>
      </c>
      <c r="AE101">
        <v>36</v>
      </c>
      <c r="AF101">
        <v>540</v>
      </c>
      <c r="AG101">
        <v>10</v>
      </c>
      <c r="AK101" t="s">
        <v>263</v>
      </c>
      <c r="AM101" t="s">
        <v>92</v>
      </c>
      <c r="AN101" t="s">
        <v>93</v>
      </c>
      <c r="AO101" t="s">
        <v>177</v>
      </c>
      <c r="AV101" t="s">
        <v>264</v>
      </c>
      <c r="AW101" t="s">
        <v>265</v>
      </c>
      <c r="AY101" t="s">
        <v>179</v>
      </c>
      <c r="AZ101" s="1">
        <v>46173</v>
      </c>
      <c r="BA101" t="s">
        <v>145</v>
      </c>
      <c r="BB101">
        <v>449</v>
      </c>
      <c r="BF101" t="s">
        <v>100</v>
      </c>
      <c r="BG101">
        <v>19</v>
      </c>
      <c r="BH101" t="s">
        <v>102</v>
      </c>
      <c r="BJ101" t="s">
        <v>94</v>
      </c>
      <c r="BK101" t="s">
        <v>260</v>
      </c>
      <c r="BL101" t="s">
        <v>100</v>
      </c>
      <c r="BP101" t="s">
        <v>147</v>
      </c>
      <c r="BQ101">
        <v>479</v>
      </c>
      <c r="BR101" t="s">
        <v>113</v>
      </c>
      <c r="BS101" t="s">
        <v>180</v>
      </c>
      <c r="BT101" t="s">
        <v>103</v>
      </c>
      <c r="BU101" t="s">
        <v>97</v>
      </c>
      <c r="BV101" t="s">
        <v>266</v>
      </c>
      <c r="BW101" t="s">
        <v>267</v>
      </c>
      <c r="BX101">
        <v>46171</v>
      </c>
      <c r="BZ101" t="s">
        <v>94</v>
      </c>
      <c r="CA101">
        <v>46167</v>
      </c>
      <c r="CB101" s="2">
        <v>46173</v>
      </c>
      <c r="CC101" s="2">
        <v>46197</v>
      </c>
      <c r="CD101">
        <f>+VLOOKUP(C101,[1]Sheet1!$A$1:$AC$452,18,FALSE)</f>
        <v>1977</v>
      </c>
    </row>
    <row r="102" spans="1:82" x14ac:dyDescent="0.3">
      <c r="A102" t="s">
        <v>86</v>
      </c>
      <c r="B102">
        <v>20548</v>
      </c>
      <c r="C102">
        <v>449</v>
      </c>
      <c r="D102" s="1">
        <v>46171</v>
      </c>
      <c r="E102">
        <v>22</v>
      </c>
      <c r="F102">
        <v>5</v>
      </c>
      <c r="G102" s="1">
        <v>46197</v>
      </c>
      <c r="H102" t="s">
        <v>87</v>
      </c>
      <c r="I102" t="s">
        <v>88</v>
      </c>
      <c r="J102" t="s">
        <v>169</v>
      </c>
      <c r="K102">
        <v>11</v>
      </c>
      <c r="L102" t="s">
        <v>170</v>
      </c>
      <c r="M102">
        <v>346</v>
      </c>
      <c r="N102" t="s">
        <v>91</v>
      </c>
      <c r="O102" t="s">
        <v>108</v>
      </c>
      <c r="P102" t="s">
        <v>104</v>
      </c>
      <c r="R102" t="s">
        <v>260</v>
      </c>
      <c r="T102" t="s">
        <v>273</v>
      </c>
      <c r="U102" t="s">
        <v>273</v>
      </c>
      <c r="V102" t="s">
        <v>100</v>
      </c>
      <c r="W102" t="s">
        <v>142</v>
      </c>
      <c r="X102" t="s">
        <v>174</v>
      </c>
      <c r="Y102" t="s">
        <v>175</v>
      </c>
      <c r="Z102">
        <v>15</v>
      </c>
      <c r="AA102" t="s">
        <v>89</v>
      </c>
      <c r="AB102" t="s">
        <v>89</v>
      </c>
      <c r="AC102" t="s">
        <v>90</v>
      </c>
      <c r="AD102" t="s">
        <v>107</v>
      </c>
      <c r="AE102">
        <v>60</v>
      </c>
      <c r="AF102">
        <v>900</v>
      </c>
      <c r="AG102">
        <v>10</v>
      </c>
      <c r="AK102" t="s">
        <v>263</v>
      </c>
      <c r="AM102" t="s">
        <v>92</v>
      </c>
      <c r="AN102" t="s">
        <v>93</v>
      </c>
      <c r="AO102" t="s">
        <v>177</v>
      </c>
      <c r="AV102" t="s">
        <v>264</v>
      </c>
      <c r="AW102" t="s">
        <v>265</v>
      </c>
      <c r="AY102" t="s">
        <v>179</v>
      </c>
      <c r="AZ102" s="1">
        <v>46173</v>
      </c>
      <c r="BA102" t="s">
        <v>145</v>
      </c>
      <c r="BB102">
        <v>449</v>
      </c>
      <c r="BF102" t="s">
        <v>100</v>
      </c>
      <c r="BG102">
        <v>19</v>
      </c>
      <c r="BH102" t="s">
        <v>102</v>
      </c>
      <c r="BJ102" t="s">
        <v>94</v>
      </c>
      <c r="BK102" t="s">
        <v>260</v>
      </c>
      <c r="BL102" t="s">
        <v>100</v>
      </c>
      <c r="BP102" t="s">
        <v>147</v>
      </c>
      <c r="BQ102">
        <v>479</v>
      </c>
      <c r="BR102" t="s">
        <v>113</v>
      </c>
      <c r="BS102" t="s">
        <v>180</v>
      </c>
      <c r="BT102" t="s">
        <v>103</v>
      </c>
      <c r="BU102" t="s">
        <v>97</v>
      </c>
      <c r="BV102" t="s">
        <v>266</v>
      </c>
      <c r="BW102" t="s">
        <v>267</v>
      </c>
      <c r="BX102">
        <v>46171</v>
      </c>
      <c r="BZ102" t="s">
        <v>94</v>
      </c>
      <c r="CA102">
        <v>46167</v>
      </c>
      <c r="CB102" s="2">
        <v>46173</v>
      </c>
      <c r="CC102" s="2">
        <v>46197</v>
      </c>
      <c r="CD102">
        <f>+VLOOKUP(C102,[1]Sheet1!$A$1:$AC$452,18,FALSE)</f>
        <v>1977</v>
      </c>
    </row>
    <row r="103" spans="1:82" x14ac:dyDescent="0.3">
      <c r="A103" t="s">
        <v>86</v>
      </c>
      <c r="B103">
        <v>20549</v>
      </c>
      <c r="C103">
        <v>449</v>
      </c>
      <c r="D103" s="1">
        <v>46171</v>
      </c>
      <c r="E103">
        <v>22</v>
      </c>
      <c r="F103">
        <v>5</v>
      </c>
      <c r="G103" s="1">
        <v>46197</v>
      </c>
      <c r="H103" t="s">
        <v>87</v>
      </c>
      <c r="I103" t="s">
        <v>88</v>
      </c>
      <c r="J103" t="s">
        <v>169</v>
      </c>
      <c r="K103">
        <v>11</v>
      </c>
      <c r="L103" t="s">
        <v>170</v>
      </c>
      <c r="M103">
        <v>346</v>
      </c>
      <c r="N103" t="s">
        <v>91</v>
      </c>
      <c r="O103" t="s">
        <v>108</v>
      </c>
      <c r="P103" t="s">
        <v>104</v>
      </c>
      <c r="R103" t="s">
        <v>260</v>
      </c>
      <c r="T103" t="s">
        <v>274</v>
      </c>
      <c r="U103" t="s">
        <v>274</v>
      </c>
      <c r="V103" t="s">
        <v>100</v>
      </c>
      <c r="W103" t="s">
        <v>142</v>
      </c>
      <c r="X103" t="s">
        <v>174</v>
      </c>
      <c r="Y103" t="s">
        <v>175</v>
      </c>
      <c r="Z103">
        <v>15</v>
      </c>
      <c r="AA103" t="s">
        <v>89</v>
      </c>
      <c r="AB103" t="s">
        <v>89</v>
      </c>
      <c r="AC103" t="s">
        <v>90</v>
      </c>
      <c r="AD103" t="s">
        <v>107</v>
      </c>
      <c r="AE103">
        <v>60</v>
      </c>
      <c r="AF103">
        <v>900</v>
      </c>
      <c r="AG103">
        <v>10</v>
      </c>
      <c r="AK103" t="s">
        <v>263</v>
      </c>
      <c r="AM103" t="s">
        <v>92</v>
      </c>
      <c r="AN103" t="s">
        <v>93</v>
      </c>
      <c r="AO103" t="s">
        <v>177</v>
      </c>
      <c r="AV103" t="s">
        <v>264</v>
      </c>
      <c r="AW103" t="s">
        <v>265</v>
      </c>
      <c r="AY103" t="s">
        <v>179</v>
      </c>
      <c r="AZ103" s="1">
        <v>46173</v>
      </c>
      <c r="BA103" t="s">
        <v>145</v>
      </c>
      <c r="BB103">
        <v>449</v>
      </c>
      <c r="BF103" t="s">
        <v>100</v>
      </c>
      <c r="BG103">
        <v>19</v>
      </c>
      <c r="BH103" t="s">
        <v>102</v>
      </c>
      <c r="BJ103" t="s">
        <v>94</v>
      </c>
      <c r="BK103" t="s">
        <v>260</v>
      </c>
      <c r="BL103" t="s">
        <v>100</v>
      </c>
      <c r="BP103" t="s">
        <v>147</v>
      </c>
      <c r="BQ103">
        <v>479</v>
      </c>
      <c r="BR103" t="s">
        <v>113</v>
      </c>
      <c r="BS103" t="s">
        <v>180</v>
      </c>
      <c r="BT103" t="s">
        <v>103</v>
      </c>
      <c r="BU103" t="s">
        <v>97</v>
      </c>
      <c r="BV103" t="s">
        <v>266</v>
      </c>
      <c r="BW103" t="s">
        <v>267</v>
      </c>
      <c r="BX103">
        <v>46171</v>
      </c>
      <c r="BZ103" t="s">
        <v>94</v>
      </c>
      <c r="CA103">
        <v>46167</v>
      </c>
      <c r="CB103" s="2">
        <v>46173</v>
      </c>
      <c r="CC103" s="2">
        <v>46197</v>
      </c>
      <c r="CD103">
        <f>+VLOOKUP(C103,[1]Sheet1!$A$1:$AC$452,18,FALSE)</f>
        <v>1977</v>
      </c>
    </row>
    <row r="104" spans="1:82" x14ac:dyDescent="0.3">
      <c r="A104" t="s">
        <v>86</v>
      </c>
      <c r="B104">
        <v>20550</v>
      </c>
      <c r="C104">
        <v>449</v>
      </c>
      <c r="D104" s="1">
        <v>46171</v>
      </c>
      <c r="E104">
        <v>22</v>
      </c>
      <c r="F104">
        <v>5</v>
      </c>
      <c r="G104" s="1">
        <v>46197</v>
      </c>
      <c r="H104" t="s">
        <v>87</v>
      </c>
      <c r="I104" t="s">
        <v>88</v>
      </c>
      <c r="J104" t="s">
        <v>169</v>
      </c>
      <c r="K104">
        <v>11</v>
      </c>
      <c r="L104" t="s">
        <v>170</v>
      </c>
      <c r="M104">
        <v>346</v>
      </c>
      <c r="N104" t="s">
        <v>91</v>
      </c>
      <c r="O104" t="s">
        <v>108</v>
      </c>
      <c r="P104" t="s">
        <v>104</v>
      </c>
      <c r="R104" t="s">
        <v>260</v>
      </c>
      <c r="T104" t="s">
        <v>275</v>
      </c>
      <c r="U104" t="s">
        <v>275</v>
      </c>
      <c r="V104" t="s">
        <v>100</v>
      </c>
      <c r="W104" t="s">
        <v>142</v>
      </c>
      <c r="X104" t="s">
        <v>174</v>
      </c>
      <c r="Y104" t="s">
        <v>175</v>
      </c>
      <c r="Z104">
        <v>15</v>
      </c>
      <c r="AA104" t="s">
        <v>89</v>
      </c>
      <c r="AB104" t="s">
        <v>89</v>
      </c>
      <c r="AC104" t="s">
        <v>90</v>
      </c>
      <c r="AD104" t="s">
        <v>107</v>
      </c>
      <c r="AE104">
        <v>60</v>
      </c>
      <c r="AF104">
        <v>900</v>
      </c>
      <c r="AG104">
        <v>10</v>
      </c>
      <c r="AK104" t="s">
        <v>263</v>
      </c>
      <c r="AM104" t="s">
        <v>92</v>
      </c>
      <c r="AN104" t="s">
        <v>93</v>
      </c>
      <c r="AO104" t="s">
        <v>177</v>
      </c>
      <c r="AV104" t="s">
        <v>264</v>
      </c>
      <c r="AW104" t="s">
        <v>265</v>
      </c>
      <c r="AY104" t="s">
        <v>179</v>
      </c>
      <c r="AZ104" s="1">
        <v>46173</v>
      </c>
      <c r="BA104" t="s">
        <v>145</v>
      </c>
      <c r="BB104">
        <v>449</v>
      </c>
      <c r="BF104" t="s">
        <v>100</v>
      </c>
      <c r="BG104">
        <v>19</v>
      </c>
      <c r="BH104" t="s">
        <v>102</v>
      </c>
      <c r="BJ104" t="s">
        <v>94</v>
      </c>
      <c r="BK104" t="s">
        <v>260</v>
      </c>
      <c r="BL104" t="s">
        <v>100</v>
      </c>
      <c r="BP104" t="s">
        <v>147</v>
      </c>
      <c r="BQ104">
        <v>479</v>
      </c>
      <c r="BR104" t="s">
        <v>113</v>
      </c>
      <c r="BS104" t="s">
        <v>180</v>
      </c>
      <c r="BT104" t="s">
        <v>103</v>
      </c>
      <c r="BU104" t="s">
        <v>97</v>
      </c>
      <c r="BV104" t="s">
        <v>266</v>
      </c>
      <c r="BW104" t="s">
        <v>267</v>
      </c>
      <c r="BX104">
        <v>46171</v>
      </c>
      <c r="BZ104" t="s">
        <v>94</v>
      </c>
      <c r="CA104">
        <v>46167</v>
      </c>
      <c r="CB104" s="2">
        <v>46173</v>
      </c>
      <c r="CC104" s="2">
        <v>46197</v>
      </c>
      <c r="CD104">
        <f>+VLOOKUP(C104,[1]Sheet1!$A$1:$AC$452,18,FALSE)</f>
        <v>1977</v>
      </c>
    </row>
    <row r="105" spans="1:82" x14ac:dyDescent="0.3">
      <c r="A105" t="s">
        <v>86</v>
      </c>
      <c r="B105">
        <v>20551</v>
      </c>
      <c r="C105">
        <v>449</v>
      </c>
      <c r="D105" s="1">
        <v>46171</v>
      </c>
      <c r="E105">
        <v>22</v>
      </c>
      <c r="F105">
        <v>5</v>
      </c>
      <c r="G105" s="1">
        <v>46197</v>
      </c>
      <c r="H105" t="s">
        <v>87</v>
      </c>
      <c r="I105" t="s">
        <v>88</v>
      </c>
      <c r="J105" t="s">
        <v>169</v>
      </c>
      <c r="K105">
        <v>11</v>
      </c>
      <c r="L105" t="s">
        <v>170</v>
      </c>
      <c r="M105">
        <v>346</v>
      </c>
      <c r="N105" t="s">
        <v>91</v>
      </c>
      <c r="O105" t="s">
        <v>108</v>
      </c>
      <c r="P105" t="s">
        <v>104</v>
      </c>
      <c r="R105" t="s">
        <v>260</v>
      </c>
      <c r="T105" t="s">
        <v>276</v>
      </c>
      <c r="U105" t="s">
        <v>276</v>
      </c>
      <c r="V105" t="s">
        <v>100</v>
      </c>
      <c r="W105" t="s">
        <v>142</v>
      </c>
      <c r="X105" t="s">
        <v>174</v>
      </c>
      <c r="Y105" t="s">
        <v>175</v>
      </c>
      <c r="Z105">
        <v>15</v>
      </c>
      <c r="AA105" t="s">
        <v>89</v>
      </c>
      <c r="AB105" t="s">
        <v>89</v>
      </c>
      <c r="AC105" t="s">
        <v>90</v>
      </c>
      <c r="AD105" t="s">
        <v>105</v>
      </c>
      <c r="AE105">
        <v>60</v>
      </c>
      <c r="AF105">
        <v>900</v>
      </c>
      <c r="AG105">
        <v>10</v>
      </c>
      <c r="AK105" t="s">
        <v>263</v>
      </c>
      <c r="AM105" t="s">
        <v>92</v>
      </c>
      <c r="AN105" t="s">
        <v>93</v>
      </c>
      <c r="AO105" t="s">
        <v>177</v>
      </c>
      <c r="AV105" t="s">
        <v>264</v>
      </c>
      <c r="AW105" t="s">
        <v>265</v>
      </c>
      <c r="AY105" t="s">
        <v>179</v>
      </c>
      <c r="AZ105" s="1">
        <v>46173</v>
      </c>
      <c r="BA105" t="s">
        <v>145</v>
      </c>
      <c r="BB105">
        <v>449</v>
      </c>
      <c r="BF105" t="s">
        <v>100</v>
      </c>
      <c r="BG105">
        <v>19</v>
      </c>
      <c r="BH105" t="s">
        <v>102</v>
      </c>
      <c r="BJ105" t="s">
        <v>94</v>
      </c>
      <c r="BK105" t="s">
        <v>260</v>
      </c>
      <c r="BL105" t="s">
        <v>100</v>
      </c>
      <c r="BP105" t="s">
        <v>147</v>
      </c>
      <c r="BQ105">
        <v>479</v>
      </c>
      <c r="BR105" t="s">
        <v>113</v>
      </c>
      <c r="BS105" t="s">
        <v>180</v>
      </c>
      <c r="BT105" t="s">
        <v>103</v>
      </c>
      <c r="BU105" t="s">
        <v>97</v>
      </c>
      <c r="BV105" t="s">
        <v>266</v>
      </c>
      <c r="BW105" t="s">
        <v>267</v>
      </c>
      <c r="BX105">
        <v>46171</v>
      </c>
      <c r="BZ105" t="s">
        <v>94</v>
      </c>
      <c r="CA105">
        <v>46167</v>
      </c>
      <c r="CB105" s="2">
        <v>46173</v>
      </c>
      <c r="CC105" s="2">
        <v>46197</v>
      </c>
      <c r="CD105">
        <f>+VLOOKUP(C105,[1]Sheet1!$A$1:$AC$452,18,FALSE)</f>
        <v>1977</v>
      </c>
    </row>
    <row r="106" spans="1:82" x14ac:dyDescent="0.3">
      <c r="A106" t="s">
        <v>86</v>
      </c>
      <c r="B106">
        <v>20552</v>
      </c>
      <c r="C106">
        <v>449</v>
      </c>
      <c r="D106" s="1">
        <v>46171</v>
      </c>
      <c r="E106">
        <v>22</v>
      </c>
      <c r="F106">
        <v>5</v>
      </c>
      <c r="G106" s="1">
        <v>46197</v>
      </c>
      <c r="H106" t="s">
        <v>87</v>
      </c>
      <c r="I106" t="s">
        <v>88</v>
      </c>
      <c r="J106" t="s">
        <v>169</v>
      </c>
      <c r="K106">
        <v>11</v>
      </c>
      <c r="L106" t="s">
        <v>170</v>
      </c>
      <c r="M106">
        <v>346</v>
      </c>
      <c r="N106" t="s">
        <v>91</v>
      </c>
      <c r="O106" t="s">
        <v>108</v>
      </c>
      <c r="P106" t="s">
        <v>104</v>
      </c>
      <c r="R106" t="s">
        <v>260</v>
      </c>
      <c r="T106" t="s">
        <v>277</v>
      </c>
      <c r="U106" t="s">
        <v>277</v>
      </c>
      <c r="V106" t="s">
        <v>100</v>
      </c>
      <c r="W106" t="s">
        <v>142</v>
      </c>
      <c r="X106" t="s">
        <v>174</v>
      </c>
      <c r="Y106" t="s">
        <v>175</v>
      </c>
      <c r="Z106">
        <v>15</v>
      </c>
      <c r="AA106" t="s">
        <v>89</v>
      </c>
      <c r="AB106" t="s">
        <v>89</v>
      </c>
      <c r="AC106" t="s">
        <v>90</v>
      </c>
      <c r="AD106" t="s">
        <v>107</v>
      </c>
      <c r="AE106">
        <v>60</v>
      </c>
      <c r="AF106">
        <v>900</v>
      </c>
      <c r="AG106">
        <v>10</v>
      </c>
      <c r="AK106" t="s">
        <v>263</v>
      </c>
      <c r="AM106" t="s">
        <v>92</v>
      </c>
      <c r="AN106" t="s">
        <v>93</v>
      </c>
      <c r="AO106" t="s">
        <v>177</v>
      </c>
      <c r="AV106" t="s">
        <v>264</v>
      </c>
      <c r="AW106" t="s">
        <v>265</v>
      </c>
      <c r="AY106" t="s">
        <v>179</v>
      </c>
      <c r="AZ106" s="1">
        <v>46173</v>
      </c>
      <c r="BA106" t="s">
        <v>145</v>
      </c>
      <c r="BB106">
        <v>449</v>
      </c>
      <c r="BF106" t="s">
        <v>100</v>
      </c>
      <c r="BG106">
        <v>19</v>
      </c>
      <c r="BH106" t="s">
        <v>102</v>
      </c>
      <c r="BJ106" t="s">
        <v>94</v>
      </c>
      <c r="BK106" t="s">
        <v>260</v>
      </c>
      <c r="BL106" t="s">
        <v>100</v>
      </c>
      <c r="BP106" t="s">
        <v>147</v>
      </c>
      <c r="BQ106">
        <v>479</v>
      </c>
      <c r="BR106" t="s">
        <v>113</v>
      </c>
      <c r="BS106" t="s">
        <v>180</v>
      </c>
      <c r="BT106" t="s">
        <v>103</v>
      </c>
      <c r="BU106" t="s">
        <v>97</v>
      </c>
      <c r="BV106" t="s">
        <v>266</v>
      </c>
      <c r="BW106" t="s">
        <v>267</v>
      </c>
      <c r="BX106">
        <v>46171</v>
      </c>
      <c r="BZ106" t="s">
        <v>94</v>
      </c>
      <c r="CA106">
        <v>46167</v>
      </c>
      <c r="CB106" s="2">
        <v>46173</v>
      </c>
      <c r="CC106" s="2">
        <v>46197</v>
      </c>
      <c r="CD106">
        <f>+VLOOKUP(C106,[1]Sheet1!$A$1:$AC$452,18,FALSE)</f>
        <v>1977</v>
      </c>
    </row>
    <row r="107" spans="1:82" x14ac:dyDescent="0.3">
      <c r="A107" t="s">
        <v>86</v>
      </c>
      <c r="B107">
        <v>20553</v>
      </c>
      <c r="C107">
        <v>449</v>
      </c>
      <c r="D107" s="1">
        <v>46171</v>
      </c>
      <c r="E107">
        <v>22</v>
      </c>
      <c r="F107">
        <v>5</v>
      </c>
      <c r="G107" s="1">
        <v>46197</v>
      </c>
      <c r="H107" t="s">
        <v>87</v>
      </c>
      <c r="I107" t="s">
        <v>88</v>
      </c>
      <c r="J107" t="s">
        <v>169</v>
      </c>
      <c r="K107">
        <v>11</v>
      </c>
      <c r="L107" t="s">
        <v>170</v>
      </c>
      <c r="M107">
        <v>346</v>
      </c>
      <c r="N107" t="s">
        <v>91</v>
      </c>
      <c r="O107" t="s">
        <v>108</v>
      </c>
      <c r="P107" t="s">
        <v>104</v>
      </c>
      <c r="R107" t="s">
        <v>260</v>
      </c>
      <c r="T107" t="s">
        <v>278</v>
      </c>
      <c r="U107" t="s">
        <v>278</v>
      </c>
      <c r="V107" t="s">
        <v>100</v>
      </c>
      <c r="W107" t="s">
        <v>142</v>
      </c>
      <c r="X107" t="s">
        <v>174</v>
      </c>
      <c r="Y107" t="s">
        <v>175</v>
      </c>
      <c r="Z107">
        <v>15</v>
      </c>
      <c r="AA107" t="s">
        <v>89</v>
      </c>
      <c r="AB107" t="s">
        <v>89</v>
      </c>
      <c r="AC107" t="s">
        <v>90</v>
      </c>
      <c r="AD107" t="s">
        <v>107</v>
      </c>
      <c r="AE107">
        <v>60</v>
      </c>
      <c r="AF107">
        <v>900</v>
      </c>
      <c r="AG107">
        <v>10</v>
      </c>
      <c r="AK107" t="s">
        <v>263</v>
      </c>
      <c r="AM107" t="s">
        <v>92</v>
      </c>
      <c r="AN107" t="s">
        <v>93</v>
      </c>
      <c r="AO107" t="s">
        <v>177</v>
      </c>
      <c r="AV107" t="s">
        <v>264</v>
      </c>
      <c r="AW107" t="s">
        <v>265</v>
      </c>
      <c r="AY107" t="s">
        <v>179</v>
      </c>
      <c r="AZ107" s="1">
        <v>46173</v>
      </c>
      <c r="BA107" t="s">
        <v>145</v>
      </c>
      <c r="BB107">
        <v>449</v>
      </c>
      <c r="BF107" t="s">
        <v>100</v>
      </c>
      <c r="BG107">
        <v>19</v>
      </c>
      <c r="BH107" t="s">
        <v>102</v>
      </c>
      <c r="BJ107" t="s">
        <v>94</v>
      </c>
      <c r="BK107" t="s">
        <v>260</v>
      </c>
      <c r="BL107" t="s">
        <v>100</v>
      </c>
      <c r="BP107" t="s">
        <v>147</v>
      </c>
      <c r="BQ107">
        <v>479</v>
      </c>
      <c r="BR107" t="s">
        <v>113</v>
      </c>
      <c r="BS107" t="s">
        <v>180</v>
      </c>
      <c r="BT107" t="s">
        <v>103</v>
      </c>
      <c r="BU107" t="s">
        <v>97</v>
      </c>
      <c r="BV107" t="s">
        <v>266</v>
      </c>
      <c r="BW107" t="s">
        <v>267</v>
      </c>
      <c r="BX107">
        <v>46171</v>
      </c>
      <c r="BZ107" t="s">
        <v>94</v>
      </c>
      <c r="CA107">
        <v>46167</v>
      </c>
      <c r="CB107" s="2">
        <v>46173</v>
      </c>
      <c r="CC107" s="2">
        <v>46197</v>
      </c>
      <c r="CD107">
        <f>+VLOOKUP(C107,[1]Sheet1!$A$1:$AC$452,18,FALSE)</f>
        <v>1977</v>
      </c>
    </row>
    <row r="108" spans="1:82" x14ac:dyDescent="0.3">
      <c r="A108" t="s">
        <v>86</v>
      </c>
      <c r="B108">
        <v>20554</v>
      </c>
      <c r="C108">
        <v>449</v>
      </c>
      <c r="D108" s="1">
        <v>46171</v>
      </c>
      <c r="E108">
        <v>22</v>
      </c>
      <c r="F108">
        <v>5</v>
      </c>
      <c r="G108" s="1">
        <v>46197</v>
      </c>
      <c r="H108" t="s">
        <v>87</v>
      </c>
      <c r="I108" t="s">
        <v>88</v>
      </c>
      <c r="J108" t="s">
        <v>169</v>
      </c>
      <c r="K108">
        <v>11</v>
      </c>
      <c r="L108" t="s">
        <v>170</v>
      </c>
      <c r="M108">
        <v>346</v>
      </c>
      <c r="N108" t="s">
        <v>91</v>
      </c>
      <c r="O108" t="s">
        <v>108</v>
      </c>
      <c r="P108" t="s">
        <v>104</v>
      </c>
      <c r="R108" t="s">
        <v>260</v>
      </c>
      <c r="T108" t="s">
        <v>279</v>
      </c>
      <c r="U108" t="s">
        <v>279</v>
      </c>
      <c r="V108" t="s">
        <v>100</v>
      </c>
      <c r="W108" t="s">
        <v>142</v>
      </c>
      <c r="X108" t="s">
        <v>174</v>
      </c>
      <c r="Y108" t="s">
        <v>175</v>
      </c>
      <c r="Z108">
        <v>15</v>
      </c>
      <c r="AA108" t="s">
        <v>89</v>
      </c>
      <c r="AB108" t="s">
        <v>89</v>
      </c>
      <c r="AC108" t="s">
        <v>90</v>
      </c>
      <c r="AD108" t="s">
        <v>107</v>
      </c>
      <c r="AE108">
        <v>60</v>
      </c>
      <c r="AF108">
        <v>900</v>
      </c>
      <c r="AG108">
        <v>10</v>
      </c>
      <c r="AK108" t="s">
        <v>263</v>
      </c>
      <c r="AM108" t="s">
        <v>92</v>
      </c>
      <c r="AN108" t="s">
        <v>93</v>
      </c>
      <c r="AO108" t="s">
        <v>177</v>
      </c>
      <c r="AV108" t="s">
        <v>264</v>
      </c>
      <c r="AW108" t="s">
        <v>265</v>
      </c>
      <c r="AY108" t="s">
        <v>179</v>
      </c>
      <c r="AZ108" s="1">
        <v>46173</v>
      </c>
      <c r="BA108" t="s">
        <v>145</v>
      </c>
      <c r="BB108">
        <v>449</v>
      </c>
      <c r="BF108" t="s">
        <v>100</v>
      </c>
      <c r="BG108">
        <v>19</v>
      </c>
      <c r="BH108" t="s">
        <v>102</v>
      </c>
      <c r="BJ108" t="s">
        <v>94</v>
      </c>
      <c r="BK108" t="s">
        <v>260</v>
      </c>
      <c r="BL108" t="s">
        <v>100</v>
      </c>
      <c r="BP108" t="s">
        <v>147</v>
      </c>
      <c r="BQ108">
        <v>479</v>
      </c>
      <c r="BR108" t="s">
        <v>113</v>
      </c>
      <c r="BS108" t="s">
        <v>180</v>
      </c>
      <c r="BT108" t="s">
        <v>103</v>
      </c>
      <c r="BU108" t="s">
        <v>97</v>
      </c>
      <c r="BV108" t="s">
        <v>266</v>
      </c>
      <c r="BW108" t="s">
        <v>267</v>
      </c>
      <c r="BX108">
        <v>46171</v>
      </c>
      <c r="BZ108" t="s">
        <v>94</v>
      </c>
      <c r="CA108">
        <v>46167</v>
      </c>
      <c r="CB108" s="2">
        <v>46173</v>
      </c>
      <c r="CC108" s="2">
        <v>46197</v>
      </c>
      <c r="CD108">
        <f>+VLOOKUP(C108,[1]Sheet1!$A$1:$AC$452,18,FALSE)</f>
        <v>1977</v>
      </c>
    </row>
    <row r="109" spans="1:82" x14ac:dyDescent="0.3">
      <c r="A109" t="s">
        <v>86</v>
      </c>
      <c r="B109">
        <v>20555</v>
      </c>
      <c r="C109">
        <v>449</v>
      </c>
      <c r="D109" s="1">
        <v>46171</v>
      </c>
      <c r="E109">
        <v>22</v>
      </c>
      <c r="F109">
        <v>5</v>
      </c>
      <c r="G109" s="1">
        <v>46197</v>
      </c>
      <c r="H109" t="s">
        <v>87</v>
      </c>
      <c r="I109" t="s">
        <v>88</v>
      </c>
      <c r="J109" t="s">
        <v>169</v>
      </c>
      <c r="K109">
        <v>11</v>
      </c>
      <c r="L109" t="s">
        <v>170</v>
      </c>
      <c r="M109">
        <v>346</v>
      </c>
      <c r="N109" t="s">
        <v>91</v>
      </c>
      <c r="O109" t="s">
        <v>108</v>
      </c>
      <c r="P109" t="s">
        <v>104</v>
      </c>
      <c r="R109" t="s">
        <v>260</v>
      </c>
      <c r="T109" t="s">
        <v>280</v>
      </c>
      <c r="U109" t="s">
        <v>280</v>
      </c>
      <c r="V109" t="s">
        <v>100</v>
      </c>
      <c r="W109" t="s">
        <v>142</v>
      </c>
      <c r="X109" t="s">
        <v>174</v>
      </c>
      <c r="Y109" t="s">
        <v>175</v>
      </c>
      <c r="Z109">
        <v>15</v>
      </c>
      <c r="AA109" t="s">
        <v>89</v>
      </c>
      <c r="AB109" t="s">
        <v>89</v>
      </c>
      <c r="AC109" t="s">
        <v>90</v>
      </c>
      <c r="AD109" t="s">
        <v>107</v>
      </c>
      <c r="AE109">
        <v>60</v>
      </c>
      <c r="AF109">
        <v>900</v>
      </c>
      <c r="AG109">
        <v>10</v>
      </c>
      <c r="AK109" t="s">
        <v>263</v>
      </c>
      <c r="AM109" t="s">
        <v>92</v>
      </c>
      <c r="AN109" t="s">
        <v>93</v>
      </c>
      <c r="AO109" t="s">
        <v>177</v>
      </c>
      <c r="AV109" t="s">
        <v>264</v>
      </c>
      <c r="AW109" t="s">
        <v>265</v>
      </c>
      <c r="AY109" t="s">
        <v>179</v>
      </c>
      <c r="AZ109" s="1">
        <v>46173</v>
      </c>
      <c r="BA109" t="s">
        <v>145</v>
      </c>
      <c r="BB109">
        <v>449</v>
      </c>
      <c r="BF109" t="s">
        <v>100</v>
      </c>
      <c r="BG109">
        <v>19</v>
      </c>
      <c r="BH109" t="s">
        <v>102</v>
      </c>
      <c r="BJ109" t="s">
        <v>94</v>
      </c>
      <c r="BK109" t="s">
        <v>260</v>
      </c>
      <c r="BL109" t="s">
        <v>100</v>
      </c>
      <c r="BP109" t="s">
        <v>147</v>
      </c>
      <c r="BQ109">
        <v>479</v>
      </c>
      <c r="BR109" t="s">
        <v>113</v>
      </c>
      <c r="BS109" t="s">
        <v>180</v>
      </c>
      <c r="BT109" t="s">
        <v>103</v>
      </c>
      <c r="BU109" t="s">
        <v>97</v>
      </c>
      <c r="BV109" t="s">
        <v>266</v>
      </c>
      <c r="BW109" t="s">
        <v>267</v>
      </c>
      <c r="BX109">
        <v>46171</v>
      </c>
      <c r="BZ109" t="s">
        <v>94</v>
      </c>
      <c r="CA109">
        <v>46167</v>
      </c>
      <c r="CB109" s="2">
        <v>46173</v>
      </c>
      <c r="CC109" s="2">
        <v>46197</v>
      </c>
      <c r="CD109">
        <f>+VLOOKUP(C109,[1]Sheet1!$A$1:$AC$452,18,FALSE)</f>
        <v>1977</v>
      </c>
    </row>
    <row r="110" spans="1:82" x14ac:dyDescent="0.3">
      <c r="A110" t="s">
        <v>86</v>
      </c>
      <c r="B110">
        <v>20556</v>
      </c>
      <c r="C110">
        <v>449</v>
      </c>
      <c r="D110" s="1">
        <v>46171</v>
      </c>
      <c r="E110">
        <v>22</v>
      </c>
      <c r="F110">
        <v>5</v>
      </c>
      <c r="G110" s="1">
        <v>46197</v>
      </c>
      <c r="H110" t="s">
        <v>87</v>
      </c>
      <c r="I110" t="s">
        <v>88</v>
      </c>
      <c r="J110" t="s">
        <v>169</v>
      </c>
      <c r="K110">
        <v>11</v>
      </c>
      <c r="L110" t="s">
        <v>170</v>
      </c>
      <c r="M110">
        <v>346</v>
      </c>
      <c r="N110" t="s">
        <v>91</v>
      </c>
      <c r="O110" t="s">
        <v>108</v>
      </c>
      <c r="P110" t="s">
        <v>104</v>
      </c>
      <c r="R110" t="s">
        <v>260</v>
      </c>
      <c r="T110" t="s">
        <v>281</v>
      </c>
      <c r="U110" t="s">
        <v>281</v>
      </c>
      <c r="V110" t="s">
        <v>100</v>
      </c>
      <c r="W110" t="s">
        <v>142</v>
      </c>
      <c r="X110" t="s">
        <v>174</v>
      </c>
      <c r="Y110" t="s">
        <v>175</v>
      </c>
      <c r="Z110">
        <v>15</v>
      </c>
      <c r="AA110" t="s">
        <v>89</v>
      </c>
      <c r="AB110" t="s">
        <v>89</v>
      </c>
      <c r="AC110" t="s">
        <v>90</v>
      </c>
      <c r="AD110" t="s">
        <v>105</v>
      </c>
      <c r="AE110">
        <v>60</v>
      </c>
      <c r="AF110">
        <v>900</v>
      </c>
      <c r="AG110">
        <v>10</v>
      </c>
      <c r="AK110" t="s">
        <v>263</v>
      </c>
      <c r="AM110" t="s">
        <v>92</v>
      </c>
      <c r="AN110" t="s">
        <v>93</v>
      </c>
      <c r="AO110" t="s">
        <v>177</v>
      </c>
      <c r="AV110" t="s">
        <v>264</v>
      </c>
      <c r="AW110" t="s">
        <v>265</v>
      </c>
      <c r="AY110" t="s">
        <v>179</v>
      </c>
      <c r="AZ110" s="1">
        <v>46173</v>
      </c>
      <c r="BA110" t="s">
        <v>145</v>
      </c>
      <c r="BB110">
        <v>449</v>
      </c>
      <c r="BF110" t="s">
        <v>100</v>
      </c>
      <c r="BG110">
        <v>19</v>
      </c>
      <c r="BH110" t="s">
        <v>102</v>
      </c>
      <c r="BJ110" t="s">
        <v>94</v>
      </c>
      <c r="BK110" t="s">
        <v>260</v>
      </c>
      <c r="BL110" t="s">
        <v>100</v>
      </c>
      <c r="BP110" t="s">
        <v>147</v>
      </c>
      <c r="BQ110">
        <v>479</v>
      </c>
      <c r="BR110" t="s">
        <v>113</v>
      </c>
      <c r="BS110" t="s">
        <v>180</v>
      </c>
      <c r="BT110" t="s">
        <v>103</v>
      </c>
      <c r="BU110" t="s">
        <v>97</v>
      </c>
      <c r="BV110" t="s">
        <v>266</v>
      </c>
      <c r="BW110" t="s">
        <v>267</v>
      </c>
      <c r="BX110">
        <v>46171</v>
      </c>
      <c r="BZ110" t="s">
        <v>94</v>
      </c>
      <c r="CA110">
        <v>46167</v>
      </c>
      <c r="CB110" s="2">
        <v>46173</v>
      </c>
      <c r="CC110" s="2">
        <v>46197</v>
      </c>
      <c r="CD110">
        <f>+VLOOKUP(C110,[1]Sheet1!$A$1:$AC$452,18,FALSE)</f>
        <v>1977</v>
      </c>
    </row>
    <row r="111" spans="1:82" x14ac:dyDescent="0.3">
      <c r="A111" t="s">
        <v>86</v>
      </c>
      <c r="B111">
        <v>20557</v>
      </c>
      <c r="C111">
        <v>449</v>
      </c>
      <c r="D111" s="1">
        <v>46171</v>
      </c>
      <c r="E111">
        <v>22</v>
      </c>
      <c r="F111">
        <v>5</v>
      </c>
      <c r="G111" s="1">
        <v>46197</v>
      </c>
      <c r="H111" t="s">
        <v>87</v>
      </c>
      <c r="I111" t="s">
        <v>88</v>
      </c>
      <c r="J111" t="s">
        <v>169</v>
      </c>
      <c r="K111">
        <v>11</v>
      </c>
      <c r="L111" t="s">
        <v>170</v>
      </c>
      <c r="M111">
        <v>346</v>
      </c>
      <c r="N111" t="s">
        <v>91</v>
      </c>
      <c r="O111" t="s">
        <v>108</v>
      </c>
      <c r="P111" t="s">
        <v>104</v>
      </c>
      <c r="R111" t="s">
        <v>260</v>
      </c>
      <c r="T111" t="s">
        <v>282</v>
      </c>
      <c r="U111" t="s">
        <v>282</v>
      </c>
      <c r="V111" t="s">
        <v>100</v>
      </c>
      <c r="W111" t="s">
        <v>142</v>
      </c>
      <c r="X111" t="s">
        <v>174</v>
      </c>
      <c r="Y111" t="s">
        <v>175</v>
      </c>
      <c r="Z111">
        <v>15</v>
      </c>
      <c r="AA111" t="s">
        <v>89</v>
      </c>
      <c r="AB111" t="s">
        <v>89</v>
      </c>
      <c r="AC111" t="s">
        <v>90</v>
      </c>
      <c r="AD111" t="s">
        <v>107</v>
      </c>
      <c r="AE111">
        <v>60</v>
      </c>
      <c r="AF111">
        <v>900</v>
      </c>
      <c r="AG111">
        <v>10</v>
      </c>
      <c r="AK111" t="s">
        <v>263</v>
      </c>
      <c r="AM111" t="s">
        <v>92</v>
      </c>
      <c r="AN111" t="s">
        <v>93</v>
      </c>
      <c r="AO111" t="s">
        <v>177</v>
      </c>
      <c r="AV111" t="s">
        <v>264</v>
      </c>
      <c r="AW111" t="s">
        <v>265</v>
      </c>
      <c r="AY111" t="s">
        <v>179</v>
      </c>
      <c r="AZ111" s="1">
        <v>46173</v>
      </c>
      <c r="BA111" t="s">
        <v>145</v>
      </c>
      <c r="BB111">
        <v>449</v>
      </c>
      <c r="BF111" t="s">
        <v>100</v>
      </c>
      <c r="BG111">
        <v>19</v>
      </c>
      <c r="BH111" t="s">
        <v>102</v>
      </c>
      <c r="BJ111" t="s">
        <v>94</v>
      </c>
      <c r="BK111" t="s">
        <v>260</v>
      </c>
      <c r="BL111" t="s">
        <v>100</v>
      </c>
      <c r="BP111" t="s">
        <v>147</v>
      </c>
      <c r="BQ111">
        <v>479</v>
      </c>
      <c r="BR111" t="s">
        <v>113</v>
      </c>
      <c r="BS111" t="s">
        <v>180</v>
      </c>
      <c r="BT111" t="s">
        <v>103</v>
      </c>
      <c r="BU111" t="s">
        <v>97</v>
      </c>
      <c r="BV111" t="s">
        <v>266</v>
      </c>
      <c r="BW111" t="s">
        <v>267</v>
      </c>
      <c r="BX111">
        <v>46171</v>
      </c>
      <c r="BZ111" t="s">
        <v>94</v>
      </c>
      <c r="CA111">
        <v>46167</v>
      </c>
      <c r="CB111" s="2">
        <v>46173</v>
      </c>
      <c r="CC111" s="2">
        <v>46197</v>
      </c>
      <c r="CD111">
        <f>+VLOOKUP(C111,[1]Sheet1!$A$1:$AC$452,18,FALSE)</f>
        <v>1977</v>
      </c>
    </row>
    <row r="112" spans="1:82" x14ac:dyDescent="0.3">
      <c r="A112" t="s">
        <v>86</v>
      </c>
      <c r="B112">
        <v>20558</v>
      </c>
      <c r="C112">
        <v>449</v>
      </c>
      <c r="D112" s="1">
        <v>46171</v>
      </c>
      <c r="E112">
        <v>22</v>
      </c>
      <c r="F112">
        <v>5</v>
      </c>
      <c r="G112" s="1">
        <v>46197</v>
      </c>
      <c r="H112" t="s">
        <v>87</v>
      </c>
      <c r="I112" t="s">
        <v>88</v>
      </c>
      <c r="J112" t="s">
        <v>169</v>
      </c>
      <c r="K112">
        <v>11</v>
      </c>
      <c r="L112" t="s">
        <v>170</v>
      </c>
      <c r="M112">
        <v>346</v>
      </c>
      <c r="N112" t="s">
        <v>91</v>
      </c>
      <c r="O112" t="s">
        <v>108</v>
      </c>
      <c r="P112" t="s">
        <v>104</v>
      </c>
      <c r="R112" t="s">
        <v>260</v>
      </c>
      <c r="T112" t="s">
        <v>283</v>
      </c>
      <c r="U112" t="s">
        <v>283</v>
      </c>
      <c r="V112" t="s">
        <v>100</v>
      </c>
      <c r="W112" t="s">
        <v>142</v>
      </c>
      <c r="X112" t="s">
        <v>174</v>
      </c>
      <c r="Y112" t="s">
        <v>175</v>
      </c>
      <c r="Z112">
        <v>15</v>
      </c>
      <c r="AA112" t="s">
        <v>89</v>
      </c>
      <c r="AB112" t="s">
        <v>89</v>
      </c>
      <c r="AC112" t="s">
        <v>90</v>
      </c>
      <c r="AD112" t="s">
        <v>107</v>
      </c>
      <c r="AE112">
        <v>60</v>
      </c>
      <c r="AF112">
        <v>900</v>
      </c>
      <c r="AG112">
        <v>10</v>
      </c>
      <c r="AK112" t="s">
        <v>263</v>
      </c>
      <c r="AM112" t="s">
        <v>92</v>
      </c>
      <c r="AN112" t="s">
        <v>93</v>
      </c>
      <c r="AO112" t="s">
        <v>177</v>
      </c>
      <c r="AV112" t="s">
        <v>264</v>
      </c>
      <c r="AW112" t="s">
        <v>265</v>
      </c>
      <c r="AY112" t="s">
        <v>179</v>
      </c>
      <c r="AZ112" s="1">
        <v>46173</v>
      </c>
      <c r="BA112" t="s">
        <v>145</v>
      </c>
      <c r="BB112">
        <v>449</v>
      </c>
      <c r="BF112" t="s">
        <v>100</v>
      </c>
      <c r="BG112">
        <v>19</v>
      </c>
      <c r="BH112" t="s">
        <v>102</v>
      </c>
      <c r="BJ112" t="s">
        <v>94</v>
      </c>
      <c r="BK112" t="s">
        <v>260</v>
      </c>
      <c r="BL112" t="s">
        <v>100</v>
      </c>
      <c r="BP112" t="s">
        <v>147</v>
      </c>
      <c r="BQ112">
        <v>479</v>
      </c>
      <c r="BR112" t="s">
        <v>113</v>
      </c>
      <c r="BS112" t="s">
        <v>180</v>
      </c>
      <c r="BT112" t="s">
        <v>103</v>
      </c>
      <c r="BU112" t="s">
        <v>97</v>
      </c>
      <c r="BV112" t="s">
        <v>266</v>
      </c>
      <c r="BW112" t="s">
        <v>267</v>
      </c>
      <c r="BX112">
        <v>46171</v>
      </c>
      <c r="BZ112" t="s">
        <v>94</v>
      </c>
      <c r="CA112">
        <v>46167</v>
      </c>
      <c r="CB112" s="2">
        <v>46173</v>
      </c>
      <c r="CC112" s="2">
        <v>46197</v>
      </c>
      <c r="CD112">
        <f>+VLOOKUP(C112,[1]Sheet1!$A$1:$AC$452,18,FALSE)</f>
        <v>1977</v>
      </c>
    </row>
    <row r="113" spans="1:82" x14ac:dyDescent="0.3">
      <c r="A113" t="s">
        <v>86</v>
      </c>
      <c r="B113">
        <v>20559</v>
      </c>
      <c r="C113">
        <v>449</v>
      </c>
      <c r="D113" s="1">
        <v>46171</v>
      </c>
      <c r="E113">
        <v>22</v>
      </c>
      <c r="F113">
        <v>5</v>
      </c>
      <c r="G113" s="1">
        <v>46197</v>
      </c>
      <c r="H113" t="s">
        <v>87</v>
      </c>
      <c r="I113" t="s">
        <v>88</v>
      </c>
      <c r="J113" t="s">
        <v>169</v>
      </c>
      <c r="K113">
        <v>11</v>
      </c>
      <c r="L113" t="s">
        <v>170</v>
      </c>
      <c r="M113">
        <v>346</v>
      </c>
      <c r="N113" t="s">
        <v>91</v>
      </c>
      <c r="O113" t="s">
        <v>108</v>
      </c>
      <c r="P113" t="s">
        <v>104</v>
      </c>
      <c r="R113" t="s">
        <v>260</v>
      </c>
      <c r="T113" t="s">
        <v>284</v>
      </c>
      <c r="U113" t="s">
        <v>284</v>
      </c>
      <c r="V113" t="s">
        <v>100</v>
      </c>
      <c r="W113" t="s">
        <v>142</v>
      </c>
      <c r="X113" t="s">
        <v>174</v>
      </c>
      <c r="Y113" t="s">
        <v>175</v>
      </c>
      <c r="Z113">
        <v>15</v>
      </c>
      <c r="AA113" t="s">
        <v>89</v>
      </c>
      <c r="AB113" t="s">
        <v>89</v>
      </c>
      <c r="AC113" t="s">
        <v>90</v>
      </c>
      <c r="AD113" t="s">
        <v>107</v>
      </c>
      <c r="AE113">
        <v>60</v>
      </c>
      <c r="AF113">
        <v>900</v>
      </c>
      <c r="AG113">
        <v>10</v>
      </c>
      <c r="AK113" t="s">
        <v>263</v>
      </c>
      <c r="AM113" t="s">
        <v>92</v>
      </c>
      <c r="AN113" t="s">
        <v>93</v>
      </c>
      <c r="AO113" t="s">
        <v>177</v>
      </c>
      <c r="AV113" t="s">
        <v>264</v>
      </c>
      <c r="AW113" t="s">
        <v>265</v>
      </c>
      <c r="AY113" t="s">
        <v>179</v>
      </c>
      <c r="AZ113" s="1">
        <v>46173</v>
      </c>
      <c r="BA113" t="s">
        <v>145</v>
      </c>
      <c r="BB113">
        <v>449</v>
      </c>
      <c r="BF113" t="s">
        <v>100</v>
      </c>
      <c r="BG113">
        <v>19</v>
      </c>
      <c r="BH113" t="s">
        <v>102</v>
      </c>
      <c r="BJ113" t="s">
        <v>94</v>
      </c>
      <c r="BK113" t="s">
        <v>260</v>
      </c>
      <c r="BL113" t="s">
        <v>100</v>
      </c>
      <c r="BP113" t="s">
        <v>147</v>
      </c>
      <c r="BQ113">
        <v>479</v>
      </c>
      <c r="BR113" t="s">
        <v>113</v>
      </c>
      <c r="BS113" t="s">
        <v>180</v>
      </c>
      <c r="BT113" t="s">
        <v>103</v>
      </c>
      <c r="BU113" t="s">
        <v>97</v>
      </c>
      <c r="BV113" t="s">
        <v>266</v>
      </c>
      <c r="BW113" t="s">
        <v>267</v>
      </c>
      <c r="BX113">
        <v>46171</v>
      </c>
      <c r="BZ113" t="s">
        <v>94</v>
      </c>
      <c r="CA113">
        <v>46167</v>
      </c>
      <c r="CB113" s="2">
        <v>46173</v>
      </c>
      <c r="CC113" s="2">
        <v>46197</v>
      </c>
      <c r="CD113">
        <f>+VLOOKUP(C113,[1]Sheet1!$A$1:$AC$452,18,FALSE)</f>
        <v>1977</v>
      </c>
    </row>
    <row r="114" spans="1:82" x14ac:dyDescent="0.3">
      <c r="A114" t="s">
        <v>86</v>
      </c>
      <c r="B114">
        <v>20560</v>
      </c>
      <c r="C114">
        <v>449</v>
      </c>
      <c r="D114" s="1">
        <v>46171</v>
      </c>
      <c r="E114">
        <v>22</v>
      </c>
      <c r="F114">
        <v>5</v>
      </c>
      <c r="G114" s="1">
        <v>46197</v>
      </c>
      <c r="H114" t="s">
        <v>87</v>
      </c>
      <c r="I114" t="s">
        <v>88</v>
      </c>
      <c r="J114" t="s">
        <v>169</v>
      </c>
      <c r="K114">
        <v>11</v>
      </c>
      <c r="L114" t="s">
        <v>170</v>
      </c>
      <c r="M114">
        <v>346</v>
      </c>
      <c r="N114" t="s">
        <v>91</v>
      </c>
      <c r="O114" t="s">
        <v>108</v>
      </c>
      <c r="P114" t="s">
        <v>104</v>
      </c>
      <c r="R114" t="s">
        <v>260</v>
      </c>
      <c r="T114" t="s">
        <v>285</v>
      </c>
      <c r="U114" t="s">
        <v>285</v>
      </c>
      <c r="V114" t="s">
        <v>100</v>
      </c>
      <c r="W114" t="s">
        <v>142</v>
      </c>
      <c r="X114" t="s">
        <v>174</v>
      </c>
      <c r="Y114" t="s">
        <v>175</v>
      </c>
      <c r="Z114">
        <v>15</v>
      </c>
      <c r="AA114" t="s">
        <v>89</v>
      </c>
      <c r="AB114" t="s">
        <v>89</v>
      </c>
      <c r="AC114" t="s">
        <v>90</v>
      </c>
      <c r="AD114" t="s">
        <v>107</v>
      </c>
      <c r="AE114">
        <v>60</v>
      </c>
      <c r="AF114">
        <v>900</v>
      </c>
      <c r="AG114">
        <v>10</v>
      </c>
      <c r="AK114" t="s">
        <v>263</v>
      </c>
      <c r="AM114" t="s">
        <v>92</v>
      </c>
      <c r="AN114" t="s">
        <v>93</v>
      </c>
      <c r="AO114" t="s">
        <v>177</v>
      </c>
      <c r="AV114" t="s">
        <v>264</v>
      </c>
      <c r="AW114" t="s">
        <v>265</v>
      </c>
      <c r="AY114" t="s">
        <v>179</v>
      </c>
      <c r="AZ114" s="1">
        <v>46173</v>
      </c>
      <c r="BA114" t="s">
        <v>145</v>
      </c>
      <c r="BB114">
        <v>449</v>
      </c>
      <c r="BF114" t="s">
        <v>100</v>
      </c>
      <c r="BG114">
        <v>19</v>
      </c>
      <c r="BH114" t="s">
        <v>102</v>
      </c>
      <c r="BJ114" t="s">
        <v>94</v>
      </c>
      <c r="BK114" t="s">
        <v>260</v>
      </c>
      <c r="BL114" t="s">
        <v>100</v>
      </c>
      <c r="BP114" t="s">
        <v>147</v>
      </c>
      <c r="BQ114">
        <v>479</v>
      </c>
      <c r="BR114" t="s">
        <v>113</v>
      </c>
      <c r="BS114" t="s">
        <v>180</v>
      </c>
      <c r="BT114" t="s">
        <v>103</v>
      </c>
      <c r="BU114" t="s">
        <v>97</v>
      </c>
      <c r="BV114" t="s">
        <v>266</v>
      </c>
      <c r="BW114" t="s">
        <v>267</v>
      </c>
      <c r="BX114">
        <v>46171</v>
      </c>
      <c r="BZ114" t="s">
        <v>94</v>
      </c>
      <c r="CA114">
        <v>46167</v>
      </c>
      <c r="CB114" s="2">
        <v>46173</v>
      </c>
      <c r="CC114" s="2">
        <v>46197</v>
      </c>
      <c r="CD114">
        <f>+VLOOKUP(C114,[1]Sheet1!$A$1:$AC$452,18,FALSE)</f>
        <v>1977</v>
      </c>
    </row>
    <row r="115" spans="1:82" x14ac:dyDescent="0.3">
      <c r="A115" t="s">
        <v>86</v>
      </c>
      <c r="B115">
        <v>20561</v>
      </c>
      <c r="C115">
        <v>449</v>
      </c>
      <c r="D115" s="1">
        <v>46171</v>
      </c>
      <c r="E115">
        <v>22</v>
      </c>
      <c r="F115">
        <v>5</v>
      </c>
      <c r="G115" s="1">
        <v>46197</v>
      </c>
      <c r="H115" t="s">
        <v>87</v>
      </c>
      <c r="I115" t="s">
        <v>88</v>
      </c>
      <c r="J115" t="s">
        <v>169</v>
      </c>
      <c r="K115">
        <v>11</v>
      </c>
      <c r="L115" t="s">
        <v>170</v>
      </c>
      <c r="M115">
        <v>346</v>
      </c>
      <c r="N115" t="s">
        <v>91</v>
      </c>
      <c r="O115" t="s">
        <v>108</v>
      </c>
      <c r="P115" t="s">
        <v>104</v>
      </c>
      <c r="R115" t="s">
        <v>260</v>
      </c>
      <c r="T115" t="s">
        <v>286</v>
      </c>
      <c r="U115" t="s">
        <v>286</v>
      </c>
      <c r="V115" t="s">
        <v>100</v>
      </c>
      <c r="W115" t="s">
        <v>142</v>
      </c>
      <c r="X115" t="s">
        <v>174</v>
      </c>
      <c r="Y115" t="s">
        <v>175</v>
      </c>
      <c r="Z115">
        <v>15</v>
      </c>
      <c r="AA115" t="s">
        <v>89</v>
      </c>
      <c r="AB115" t="s">
        <v>89</v>
      </c>
      <c r="AC115" t="s">
        <v>90</v>
      </c>
      <c r="AD115" t="s">
        <v>107</v>
      </c>
      <c r="AE115">
        <v>41</v>
      </c>
      <c r="AF115">
        <v>615</v>
      </c>
      <c r="AG115">
        <v>10</v>
      </c>
      <c r="AK115" t="s">
        <v>263</v>
      </c>
      <c r="AM115" t="s">
        <v>92</v>
      </c>
      <c r="AN115" t="s">
        <v>93</v>
      </c>
      <c r="AO115" t="s">
        <v>177</v>
      </c>
      <c r="AV115" t="s">
        <v>264</v>
      </c>
      <c r="AW115" t="s">
        <v>265</v>
      </c>
      <c r="AY115" t="s">
        <v>179</v>
      </c>
      <c r="AZ115" s="1">
        <v>46173</v>
      </c>
      <c r="BA115" t="s">
        <v>145</v>
      </c>
      <c r="BB115">
        <v>449</v>
      </c>
      <c r="BF115" t="s">
        <v>100</v>
      </c>
      <c r="BG115">
        <v>19</v>
      </c>
      <c r="BH115" t="s">
        <v>102</v>
      </c>
      <c r="BJ115" t="s">
        <v>94</v>
      </c>
      <c r="BK115" t="s">
        <v>260</v>
      </c>
      <c r="BL115" t="s">
        <v>100</v>
      </c>
      <c r="BP115" t="s">
        <v>147</v>
      </c>
      <c r="BQ115">
        <v>479</v>
      </c>
      <c r="BR115" t="s">
        <v>113</v>
      </c>
      <c r="BS115" t="s">
        <v>180</v>
      </c>
      <c r="BT115" t="s">
        <v>103</v>
      </c>
      <c r="BU115" t="s">
        <v>97</v>
      </c>
      <c r="BV115" t="s">
        <v>266</v>
      </c>
      <c r="BW115" t="s">
        <v>267</v>
      </c>
      <c r="BX115">
        <v>46171</v>
      </c>
      <c r="BZ115" t="s">
        <v>94</v>
      </c>
      <c r="CA115">
        <v>46167</v>
      </c>
      <c r="CB115" s="2">
        <v>46173</v>
      </c>
      <c r="CC115" s="2">
        <v>46197</v>
      </c>
      <c r="CD115">
        <f>+VLOOKUP(C115,[1]Sheet1!$A$1:$AC$452,18,FALSE)</f>
        <v>1977</v>
      </c>
    </row>
    <row r="116" spans="1:82" x14ac:dyDescent="0.3">
      <c r="A116" t="s">
        <v>86</v>
      </c>
      <c r="B116">
        <v>20562</v>
      </c>
      <c r="C116">
        <v>449</v>
      </c>
      <c r="D116" s="1">
        <v>46171</v>
      </c>
      <c r="E116">
        <v>22</v>
      </c>
      <c r="F116">
        <v>5</v>
      </c>
      <c r="G116" s="1">
        <v>46197</v>
      </c>
      <c r="H116" t="s">
        <v>87</v>
      </c>
      <c r="I116" t="s">
        <v>88</v>
      </c>
      <c r="J116" t="s">
        <v>169</v>
      </c>
      <c r="K116">
        <v>11</v>
      </c>
      <c r="L116" t="s">
        <v>170</v>
      </c>
      <c r="M116">
        <v>346</v>
      </c>
      <c r="N116" t="s">
        <v>91</v>
      </c>
      <c r="O116" t="s">
        <v>108</v>
      </c>
      <c r="P116" t="s">
        <v>104</v>
      </c>
      <c r="R116" t="s">
        <v>260</v>
      </c>
      <c r="T116" t="s">
        <v>286</v>
      </c>
      <c r="U116" t="s">
        <v>286</v>
      </c>
      <c r="V116" t="s">
        <v>100</v>
      </c>
      <c r="W116" t="s">
        <v>142</v>
      </c>
      <c r="X116" t="s">
        <v>174</v>
      </c>
      <c r="Y116" t="s">
        <v>175</v>
      </c>
      <c r="Z116">
        <v>15</v>
      </c>
      <c r="AA116" t="s">
        <v>89</v>
      </c>
      <c r="AB116" t="s">
        <v>89</v>
      </c>
      <c r="AC116" t="s">
        <v>90</v>
      </c>
      <c r="AD116" t="s">
        <v>107</v>
      </c>
      <c r="AE116">
        <v>19</v>
      </c>
      <c r="AF116">
        <v>285</v>
      </c>
      <c r="AG116">
        <v>10</v>
      </c>
      <c r="AK116" t="s">
        <v>263</v>
      </c>
      <c r="AM116" t="s">
        <v>92</v>
      </c>
      <c r="AN116" t="s">
        <v>93</v>
      </c>
      <c r="AO116" t="s">
        <v>177</v>
      </c>
      <c r="AV116" t="s">
        <v>264</v>
      </c>
      <c r="AW116" t="s">
        <v>265</v>
      </c>
      <c r="AY116" t="s">
        <v>179</v>
      </c>
      <c r="AZ116" s="1">
        <v>46173</v>
      </c>
      <c r="BA116" t="s">
        <v>145</v>
      </c>
      <c r="BB116">
        <v>449</v>
      </c>
      <c r="BF116" t="s">
        <v>100</v>
      </c>
      <c r="BG116">
        <v>19</v>
      </c>
      <c r="BH116" t="s">
        <v>102</v>
      </c>
      <c r="BJ116" t="s">
        <v>94</v>
      </c>
      <c r="BK116" t="s">
        <v>260</v>
      </c>
      <c r="BL116" t="s">
        <v>100</v>
      </c>
      <c r="BP116" t="s">
        <v>147</v>
      </c>
      <c r="BQ116">
        <v>479</v>
      </c>
      <c r="BR116" t="s">
        <v>113</v>
      </c>
      <c r="BS116" t="s">
        <v>180</v>
      </c>
      <c r="BT116" t="s">
        <v>103</v>
      </c>
      <c r="BU116" t="s">
        <v>97</v>
      </c>
      <c r="BV116" t="s">
        <v>266</v>
      </c>
      <c r="BW116" t="s">
        <v>267</v>
      </c>
      <c r="BX116">
        <v>46171</v>
      </c>
      <c r="BZ116" t="s">
        <v>94</v>
      </c>
      <c r="CA116">
        <v>46167</v>
      </c>
      <c r="CB116" s="2">
        <v>46173</v>
      </c>
      <c r="CC116" s="2">
        <v>46197</v>
      </c>
      <c r="CD116">
        <f>+VLOOKUP(C116,[1]Sheet1!$A$1:$AC$452,18,FALSE)</f>
        <v>1977</v>
      </c>
    </row>
  </sheetData>
  <autoFilter ref="A1:CC116" xr:uid="{7BD6AC37-F78F-471C-ACA3-FC82571F7725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6FD2B-329E-44AD-ABFF-1C0A87FE5AD2}">
  <dimension ref="A1:Z116"/>
  <sheetViews>
    <sheetView tabSelected="1" workbookViewId="0">
      <selection activeCell="E29" sqref="E29"/>
    </sheetView>
  </sheetViews>
  <sheetFormatPr baseColWidth="10" defaultRowHeight="14.4" x14ac:dyDescent="0.3"/>
  <cols>
    <col min="5" max="5" width="21" bestFit="1" customWidth="1"/>
    <col min="16" max="16" width="33.6640625" bestFit="1" customWidth="1"/>
    <col min="26" max="26" width="21.88671875" bestFit="1" customWidth="1"/>
  </cols>
  <sheetData>
    <row r="1" spans="1:26" x14ac:dyDescent="0.3">
      <c r="A1" t="s">
        <v>0</v>
      </c>
      <c r="B1" t="s">
        <v>1</v>
      </c>
      <c r="C1" t="s">
        <v>2</v>
      </c>
      <c r="D1" s="1" t="s">
        <v>3</v>
      </c>
      <c r="E1" t="s">
        <v>8</v>
      </c>
      <c r="F1" t="s">
        <v>5</v>
      </c>
      <c r="G1" t="s">
        <v>287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74</v>
      </c>
      <c r="R1" t="s">
        <v>28</v>
      </c>
      <c r="S1" t="s">
        <v>29</v>
      </c>
      <c r="T1" t="s">
        <v>30</v>
      </c>
      <c r="U1" t="s">
        <v>31</v>
      </c>
      <c r="V1" t="s">
        <v>32</v>
      </c>
      <c r="W1" t="s">
        <v>33</v>
      </c>
      <c r="X1" t="s">
        <v>34</v>
      </c>
      <c r="Y1" t="s">
        <v>84</v>
      </c>
      <c r="Z1" t="s">
        <v>85</v>
      </c>
    </row>
    <row r="2" spans="1:26" x14ac:dyDescent="0.3">
      <c r="A2" t="s">
        <v>86</v>
      </c>
      <c r="B2">
        <v>20376</v>
      </c>
      <c r="C2">
        <v>444</v>
      </c>
      <c r="D2" s="1">
        <v>46160</v>
      </c>
      <c r="E2" t="s">
        <v>88</v>
      </c>
      <c r="F2">
        <v>5</v>
      </c>
      <c r="G2" t="s">
        <v>288</v>
      </c>
      <c r="H2" t="s">
        <v>140</v>
      </c>
      <c r="I2" t="s">
        <v>140</v>
      </c>
      <c r="J2" t="s">
        <v>141</v>
      </c>
      <c r="K2" t="s">
        <v>100</v>
      </c>
      <c r="L2" t="s">
        <v>101</v>
      </c>
      <c r="M2">
        <v>23</v>
      </c>
      <c r="N2" t="s">
        <v>142</v>
      </c>
      <c r="O2" t="s">
        <v>143</v>
      </c>
      <c r="P2" t="s">
        <v>95</v>
      </c>
      <c r="Q2" t="s">
        <v>148</v>
      </c>
      <c r="R2">
        <v>15</v>
      </c>
      <c r="S2" t="s">
        <v>89</v>
      </c>
      <c r="T2" t="s">
        <v>89</v>
      </c>
      <c r="U2" t="s">
        <v>90</v>
      </c>
      <c r="V2" t="s">
        <v>107</v>
      </c>
      <c r="W2">
        <v>80</v>
      </c>
      <c r="X2">
        <v>1200</v>
      </c>
      <c r="Y2" t="s">
        <v>149</v>
      </c>
      <c r="Z2">
        <v>352</v>
      </c>
    </row>
    <row r="3" spans="1:26" x14ac:dyDescent="0.3">
      <c r="A3" t="s">
        <v>86</v>
      </c>
      <c r="B3">
        <v>20377</v>
      </c>
      <c r="C3">
        <v>444</v>
      </c>
      <c r="D3" s="1">
        <v>46160</v>
      </c>
      <c r="E3" t="s">
        <v>88</v>
      </c>
      <c r="F3">
        <v>5</v>
      </c>
      <c r="G3" t="s">
        <v>288</v>
      </c>
      <c r="H3" t="s">
        <v>150</v>
      </c>
      <c r="I3" t="s">
        <v>150</v>
      </c>
      <c r="J3" t="s">
        <v>141</v>
      </c>
      <c r="K3" t="s">
        <v>100</v>
      </c>
      <c r="L3" t="s">
        <v>101</v>
      </c>
      <c r="M3">
        <v>23</v>
      </c>
      <c r="N3" t="s">
        <v>142</v>
      </c>
      <c r="O3" t="s">
        <v>143</v>
      </c>
      <c r="P3" t="s">
        <v>95</v>
      </c>
      <c r="Q3" t="s">
        <v>148</v>
      </c>
      <c r="R3">
        <v>15</v>
      </c>
      <c r="S3" t="s">
        <v>89</v>
      </c>
      <c r="T3" t="s">
        <v>89</v>
      </c>
      <c r="U3" t="s">
        <v>90</v>
      </c>
      <c r="V3" t="s">
        <v>109</v>
      </c>
      <c r="W3">
        <v>80</v>
      </c>
      <c r="X3">
        <v>1200</v>
      </c>
      <c r="Y3" t="s">
        <v>149</v>
      </c>
      <c r="Z3">
        <v>352</v>
      </c>
    </row>
    <row r="4" spans="1:26" x14ac:dyDescent="0.3">
      <c r="A4" t="s">
        <v>86</v>
      </c>
      <c r="B4">
        <v>20378</v>
      </c>
      <c r="C4">
        <v>444</v>
      </c>
      <c r="D4" s="1">
        <v>46160</v>
      </c>
      <c r="E4" t="s">
        <v>88</v>
      </c>
      <c r="F4">
        <v>5</v>
      </c>
      <c r="G4" t="s">
        <v>288</v>
      </c>
      <c r="H4" t="s">
        <v>151</v>
      </c>
      <c r="I4" t="s">
        <v>151</v>
      </c>
      <c r="J4" t="s">
        <v>141</v>
      </c>
      <c r="K4" t="s">
        <v>100</v>
      </c>
      <c r="L4" t="s">
        <v>101</v>
      </c>
      <c r="M4">
        <v>23</v>
      </c>
      <c r="N4" t="s">
        <v>142</v>
      </c>
      <c r="O4" t="s">
        <v>143</v>
      </c>
      <c r="P4" t="s">
        <v>95</v>
      </c>
      <c r="Q4" t="s">
        <v>148</v>
      </c>
      <c r="R4">
        <v>15</v>
      </c>
      <c r="S4" t="s">
        <v>89</v>
      </c>
      <c r="T4" t="s">
        <v>89</v>
      </c>
      <c r="U4" t="s">
        <v>90</v>
      </c>
      <c r="V4" t="s">
        <v>119</v>
      </c>
      <c r="W4">
        <v>80</v>
      </c>
      <c r="X4">
        <v>1200</v>
      </c>
      <c r="Y4" t="s">
        <v>149</v>
      </c>
      <c r="Z4">
        <v>352</v>
      </c>
    </row>
    <row r="5" spans="1:26" x14ac:dyDescent="0.3">
      <c r="A5" t="s">
        <v>86</v>
      </c>
      <c r="B5">
        <v>20379</v>
      </c>
      <c r="C5">
        <v>444</v>
      </c>
      <c r="D5" s="1">
        <v>46160</v>
      </c>
      <c r="E5" t="s">
        <v>88</v>
      </c>
      <c r="F5">
        <v>5</v>
      </c>
      <c r="G5" t="s">
        <v>288</v>
      </c>
      <c r="H5" t="s">
        <v>152</v>
      </c>
      <c r="I5" t="s">
        <v>152</v>
      </c>
      <c r="J5" t="s">
        <v>141</v>
      </c>
      <c r="K5" t="s">
        <v>100</v>
      </c>
      <c r="L5" t="s">
        <v>101</v>
      </c>
      <c r="M5">
        <v>23</v>
      </c>
      <c r="N5" t="s">
        <v>142</v>
      </c>
      <c r="O5" t="s">
        <v>143</v>
      </c>
      <c r="P5" t="s">
        <v>95</v>
      </c>
      <c r="Q5" t="s">
        <v>148</v>
      </c>
      <c r="R5">
        <v>15</v>
      </c>
      <c r="S5" t="s">
        <v>89</v>
      </c>
      <c r="T5" t="s">
        <v>89</v>
      </c>
      <c r="U5" t="s">
        <v>90</v>
      </c>
      <c r="V5" t="s">
        <v>111</v>
      </c>
      <c r="W5">
        <v>80</v>
      </c>
      <c r="X5">
        <v>1200</v>
      </c>
      <c r="Y5" t="s">
        <v>149</v>
      </c>
      <c r="Z5">
        <v>352</v>
      </c>
    </row>
    <row r="6" spans="1:26" x14ac:dyDescent="0.3">
      <c r="A6" t="s">
        <v>86</v>
      </c>
      <c r="B6">
        <v>20380</v>
      </c>
      <c r="C6">
        <v>444</v>
      </c>
      <c r="D6" s="1">
        <v>46160</v>
      </c>
      <c r="E6" t="s">
        <v>88</v>
      </c>
      <c r="F6">
        <v>5</v>
      </c>
      <c r="G6" t="s">
        <v>288</v>
      </c>
      <c r="H6" t="s">
        <v>153</v>
      </c>
      <c r="I6" t="s">
        <v>153</v>
      </c>
      <c r="J6" t="s">
        <v>141</v>
      </c>
      <c r="K6" t="s">
        <v>100</v>
      </c>
      <c r="L6" t="s">
        <v>101</v>
      </c>
      <c r="M6">
        <v>23</v>
      </c>
      <c r="N6" t="s">
        <v>142</v>
      </c>
      <c r="O6" t="s">
        <v>143</v>
      </c>
      <c r="P6" t="s">
        <v>95</v>
      </c>
      <c r="Q6" t="s">
        <v>148</v>
      </c>
      <c r="R6">
        <v>15</v>
      </c>
      <c r="S6" t="s">
        <v>89</v>
      </c>
      <c r="T6" t="s">
        <v>89</v>
      </c>
      <c r="U6" t="s">
        <v>90</v>
      </c>
      <c r="V6" t="s">
        <v>117</v>
      </c>
      <c r="W6">
        <v>80</v>
      </c>
      <c r="X6">
        <v>1200</v>
      </c>
      <c r="Y6" t="s">
        <v>149</v>
      </c>
      <c r="Z6">
        <v>352</v>
      </c>
    </row>
    <row r="7" spans="1:26" x14ac:dyDescent="0.3">
      <c r="A7" t="s">
        <v>86</v>
      </c>
      <c r="B7">
        <v>20381</v>
      </c>
      <c r="C7">
        <v>444</v>
      </c>
      <c r="D7" s="1">
        <v>46160</v>
      </c>
      <c r="E7" t="s">
        <v>88</v>
      </c>
      <c r="F7">
        <v>5</v>
      </c>
      <c r="G7" t="s">
        <v>288</v>
      </c>
      <c r="H7" t="s">
        <v>154</v>
      </c>
      <c r="I7" t="s">
        <v>154</v>
      </c>
      <c r="J7" t="s">
        <v>141</v>
      </c>
      <c r="K7" t="s">
        <v>100</v>
      </c>
      <c r="L7" t="s">
        <v>101</v>
      </c>
      <c r="M7">
        <v>23</v>
      </c>
      <c r="N7" t="s">
        <v>142</v>
      </c>
      <c r="O7" t="s">
        <v>143</v>
      </c>
      <c r="P7" t="s">
        <v>95</v>
      </c>
      <c r="Q7" t="s">
        <v>148</v>
      </c>
      <c r="R7">
        <v>15</v>
      </c>
      <c r="S7" t="s">
        <v>89</v>
      </c>
      <c r="T7" t="s">
        <v>89</v>
      </c>
      <c r="U7" t="s">
        <v>90</v>
      </c>
      <c r="V7" t="s">
        <v>111</v>
      </c>
      <c r="W7">
        <v>80</v>
      </c>
      <c r="X7">
        <v>1200</v>
      </c>
      <c r="Y7" t="s">
        <v>149</v>
      </c>
      <c r="Z7">
        <v>352</v>
      </c>
    </row>
    <row r="8" spans="1:26" x14ac:dyDescent="0.3">
      <c r="A8" t="s">
        <v>86</v>
      </c>
      <c r="B8">
        <v>20382</v>
      </c>
      <c r="C8">
        <v>444</v>
      </c>
      <c r="D8" s="1">
        <v>46160</v>
      </c>
      <c r="E8" t="s">
        <v>88</v>
      </c>
      <c r="F8">
        <v>5</v>
      </c>
      <c r="G8" t="s">
        <v>288</v>
      </c>
      <c r="H8" t="s">
        <v>155</v>
      </c>
      <c r="I8" t="s">
        <v>155</v>
      </c>
      <c r="J8" t="s">
        <v>141</v>
      </c>
      <c r="K8" t="s">
        <v>100</v>
      </c>
      <c r="L8" t="s">
        <v>101</v>
      </c>
      <c r="M8">
        <v>23</v>
      </c>
      <c r="N8" t="s">
        <v>142</v>
      </c>
      <c r="O8" t="s">
        <v>143</v>
      </c>
      <c r="P8" t="s">
        <v>95</v>
      </c>
      <c r="Q8" t="s">
        <v>148</v>
      </c>
      <c r="R8">
        <v>15</v>
      </c>
      <c r="S8" t="s">
        <v>89</v>
      </c>
      <c r="T8" t="s">
        <v>89</v>
      </c>
      <c r="U8" t="s">
        <v>90</v>
      </c>
      <c r="V8" t="s">
        <v>109</v>
      </c>
      <c r="W8">
        <v>80</v>
      </c>
      <c r="X8">
        <v>1200</v>
      </c>
      <c r="Y8" t="s">
        <v>149</v>
      </c>
      <c r="Z8">
        <v>352</v>
      </c>
    </row>
    <row r="9" spans="1:26" x14ac:dyDescent="0.3">
      <c r="A9" t="s">
        <v>86</v>
      </c>
      <c r="B9">
        <v>20383</v>
      </c>
      <c r="C9">
        <v>444</v>
      </c>
      <c r="D9" s="1">
        <v>46160</v>
      </c>
      <c r="E9" t="s">
        <v>88</v>
      </c>
      <c r="F9">
        <v>5</v>
      </c>
      <c r="G9" t="s">
        <v>288</v>
      </c>
      <c r="H9" t="s">
        <v>156</v>
      </c>
      <c r="I9" t="s">
        <v>156</v>
      </c>
      <c r="J9" t="s">
        <v>141</v>
      </c>
      <c r="K9" t="s">
        <v>100</v>
      </c>
      <c r="L9" t="s">
        <v>101</v>
      </c>
      <c r="M9">
        <v>23</v>
      </c>
      <c r="N9" t="s">
        <v>142</v>
      </c>
      <c r="O9" t="s">
        <v>143</v>
      </c>
      <c r="P9" t="s">
        <v>95</v>
      </c>
      <c r="Q9" t="s">
        <v>148</v>
      </c>
      <c r="R9">
        <v>15</v>
      </c>
      <c r="S9" t="s">
        <v>89</v>
      </c>
      <c r="T9" t="s">
        <v>89</v>
      </c>
      <c r="U9" t="s">
        <v>90</v>
      </c>
      <c r="V9" t="s">
        <v>111</v>
      </c>
      <c r="W9">
        <v>80</v>
      </c>
      <c r="X9">
        <v>1200</v>
      </c>
      <c r="Y9" t="s">
        <v>149</v>
      </c>
      <c r="Z9">
        <v>352</v>
      </c>
    </row>
    <row r="10" spans="1:26" x14ac:dyDescent="0.3">
      <c r="A10" t="s">
        <v>86</v>
      </c>
      <c r="B10">
        <v>20384</v>
      </c>
      <c r="C10">
        <v>444</v>
      </c>
      <c r="D10" s="1">
        <v>46160</v>
      </c>
      <c r="E10" t="s">
        <v>88</v>
      </c>
      <c r="F10">
        <v>5</v>
      </c>
      <c r="G10" t="s">
        <v>288</v>
      </c>
      <c r="H10" t="s">
        <v>157</v>
      </c>
      <c r="I10" t="s">
        <v>157</v>
      </c>
      <c r="J10" t="s">
        <v>141</v>
      </c>
      <c r="K10" t="s">
        <v>100</v>
      </c>
      <c r="L10" t="s">
        <v>101</v>
      </c>
      <c r="M10">
        <v>23</v>
      </c>
      <c r="N10" t="s">
        <v>142</v>
      </c>
      <c r="O10" t="s">
        <v>143</v>
      </c>
      <c r="P10" t="s">
        <v>95</v>
      </c>
      <c r="Q10" t="s">
        <v>148</v>
      </c>
      <c r="R10">
        <v>15</v>
      </c>
      <c r="S10" t="s">
        <v>89</v>
      </c>
      <c r="T10" t="s">
        <v>89</v>
      </c>
      <c r="U10" t="s">
        <v>90</v>
      </c>
      <c r="V10" t="s">
        <v>117</v>
      </c>
      <c r="W10">
        <v>80</v>
      </c>
      <c r="X10">
        <v>1200</v>
      </c>
      <c r="Y10" t="s">
        <v>149</v>
      </c>
      <c r="Z10">
        <v>352</v>
      </c>
    </row>
    <row r="11" spans="1:26" x14ac:dyDescent="0.3">
      <c r="A11" t="s">
        <v>86</v>
      </c>
      <c r="B11">
        <v>20385</v>
      </c>
      <c r="C11">
        <v>444</v>
      </c>
      <c r="D11" s="1">
        <v>46160</v>
      </c>
      <c r="E11" t="s">
        <v>88</v>
      </c>
      <c r="F11">
        <v>5</v>
      </c>
      <c r="G11" t="s">
        <v>288</v>
      </c>
      <c r="H11" t="s">
        <v>158</v>
      </c>
      <c r="I11" t="s">
        <v>158</v>
      </c>
      <c r="J11" t="s">
        <v>141</v>
      </c>
      <c r="K11" t="s">
        <v>100</v>
      </c>
      <c r="L11" t="s">
        <v>101</v>
      </c>
      <c r="M11">
        <v>23</v>
      </c>
      <c r="N11" t="s">
        <v>142</v>
      </c>
      <c r="O11" t="s">
        <v>143</v>
      </c>
      <c r="P11" t="s">
        <v>95</v>
      </c>
      <c r="Q11" t="s">
        <v>148</v>
      </c>
      <c r="R11">
        <v>15</v>
      </c>
      <c r="S11" t="s">
        <v>89</v>
      </c>
      <c r="T11" t="s">
        <v>89</v>
      </c>
      <c r="U11" t="s">
        <v>90</v>
      </c>
      <c r="V11" t="s">
        <v>109</v>
      </c>
      <c r="W11">
        <v>80</v>
      </c>
      <c r="X11">
        <v>1200</v>
      </c>
      <c r="Y11" t="s">
        <v>149</v>
      </c>
      <c r="Z11">
        <v>352</v>
      </c>
    </row>
    <row r="12" spans="1:26" x14ac:dyDescent="0.3">
      <c r="A12" t="s">
        <v>86</v>
      </c>
      <c r="B12">
        <v>20386</v>
      </c>
      <c r="C12">
        <v>444</v>
      </c>
      <c r="D12" s="1">
        <v>46160</v>
      </c>
      <c r="E12" t="s">
        <v>88</v>
      </c>
      <c r="F12">
        <v>5</v>
      </c>
      <c r="G12" t="s">
        <v>288</v>
      </c>
      <c r="H12" t="s">
        <v>159</v>
      </c>
      <c r="I12" t="s">
        <v>159</v>
      </c>
      <c r="J12" t="s">
        <v>141</v>
      </c>
      <c r="K12" t="s">
        <v>100</v>
      </c>
      <c r="L12" t="s">
        <v>101</v>
      </c>
      <c r="M12">
        <v>23</v>
      </c>
      <c r="N12" t="s">
        <v>142</v>
      </c>
      <c r="O12" t="s">
        <v>143</v>
      </c>
      <c r="P12" t="s">
        <v>95</v>
      </c>
      <c r="Q12" t="s">
        <v>148</v>
      </c>
      <c r="R12">
        <v>15</v>
      </c>
      <c r="S12" t="s">
        <v>89</v>
      </c>
      <c r="T12" t="s">
        <v>89</v>
      </c>
      <c r="U12" t="s">
        <v>90</v>
      </c>
      <c r="V12" t="s">
        <v>111</v>
      </c>
      <c r="W12">
        <v>80</v>
      </c>
      <c r="X12">
        <v>1200</v>
      </c>
      <c r="Y12" t="s">
        <v>149</v>
      </c>
      <c r="Z12">
        <v>352</v>
      </c>
    </row>
    <row r="13" spans="1:26" x14ac:dyDescent="0.3">
      <c r="A13" t="s">
        <v>86</v>
      </c>
      <c r="B13">
        <v>20387</v>
      </c>
      <c r="C13">
        <v>444</v>
      </c>
      <c r="D13" s="1">
        <v>46160</v>
      </c>
      <c r="E13" t="s">
        <v>88</v>
      </c>
      <c r="F13">
        <v>5</v>
      </c>
      <c r="G13" t="s">
        <v>288</v>
      </c>
      <c r="H13" t="s">
        <v>160</v>
      </c>
      <c r="I13" t="s">
        <v>160</v>
      </c>
      <c r="J13" t="s">
        <v>141</v>
      </c>
      <c r="K13" t="s">
        <v>100</v>
      </c>
      <c r="L13" t="s">
        <v>101</v>
      </c>
      <c r="M13">
        <v>23</v>
      </c>
      <c r="N13" t="s">
        <v>142</v>
      </c>
      <c r="O13" t="s">
        <v>143</v>
      </c>
      <c r="P13" t="s">
        <v>95</v>
      </c>
      <c r="Q13" t="s">
        <v>148</v>
      </c>
      <c r="R13">
        <v>15</v>
      </c>
      <c r="S13" t="s">
        <v>89</v>
      </c>
      <c r="T13" t="s">
        <v>89</v>
      </c>
      <c r="U13" t="s">
        <v>90</v>
      </c>
      <c r="V13" t="s">
        <v>117</v>
      </c>
      <c r="W13">
        <v>80</v>
      </c>
      <c r="X13">
        <v>1200</v>
      </c>
      <c r="Y13" t="s">
        <v>149</v>
      </c>
      <c r="Z13">
        <v>352</v>
      </c>
    </row>
    <row r="14" spans="1:26" x14ac:dyDescent="0.3">
      <c r="A14" t="s">
        <v>86</v>
      </c>
      <c r="B14">
        <v>20388</v>
      </c>
      <c r="C14">
        <v>444</v>
      </c>
      <c r="D14" s="1">
        <v>46160</v>
      </c>
      <c r="E14" t="s">
        <v>88</v>
      </c>
      <c r="F14">
        <v>5</v>
      </c>
      <c r="G14" t="s">
        <v>288</v>
      </c>
      <c r="H14" t="s">
        <v>161</v>
      </c>
      <c r="I14" t="s">
        <v>161</v>
      </c>
      <c r="J14" t="s">
        <v>141</v>
      </c>
      <c r="K14" t="s">
        <v>100</v>
      </c>
      <c r="L14" t="s">
        <v>101</v>
      </c>
      <c r="M14">
        <v>23</v>
      </c>
      <c r="N14" t="s">
        <v>142</v>
      </c>
      <c r="O14" t="s">
        <v>143</v>
      </c>
      <c r="P14" t="s">
        <v>95</v>
      </c>
      <c r="Q14" t="s">
        <v>148</v>
      </c>
      <c r="R14">
        <v>15</v>
      </c>
      <c r="S14" t="s">
        <v>89</v>
      </c>
      <c r="T14" t="s">
        <v>89</v>
      </c>
      <c r="U14" t="s">
        <v>90</v>
      </c>
      <c r="V14" t="s">
        <v>119</v>
      </c>
      <c r="W14">
        <v>80</v>
      </c>
      <c r="X14">
        <v>1200</v>
      </c>
      <c r="Y14" t="s">
        <v>149</v>
      </c>
      <c r="Z14">
        <v>352</v>
      </c>
    </row>
    <row r="15" spans="1:26" x14ac:dyDescent="0.3">
      <c r="A15" t="s">
        <v>86</v>
      </c>
      <c r="B15">
        <v>20389</v>
      </c>
      <c r="C15">
        <v>444</v>
      </c>
      <c r="D15" s="1">
        <v>46160</v>
      </c>
      <c r="E15" t="s">
        <v>88</v>
      </c>
      <c r="F15">
        <v>5</v>
      </c>
      <c r="G15" t="s">
        <v>288</v>
      </c>
      <c r="H15" t="s">
        <v>162</v>
      </c>
      <c r="I15" t="s">
        <v>162</v>
      </c>
      <c r="J15" t="s">
        <v>141</v>
      </c>
      <c r="K15" t="s">
        <v>100</v>
      </c>
      <c r="L15" t="s">
        <v>101</v>
      </c>
      <c r="M15">
        <v>23</v>
      </c>
      <c r="N15" t="s">
        <v>142</v>
      </c>
      <c r="O15" t="s">
        <v>143</v>
      </c>
      <c r="P15" t="s">
        <v>95</v>
      </c>
      <c r="Q15" t="s">
        <v>148</v>
      </c>
      <c r="R15">
        <v>15</v>
      </c>
      <c r="S15" t="s">
        <v>89</v>
      </c>
      <c r="T15" t="s">
        <v>89</v>
      </c>
      <c r="U15" t="s">
        <v>90</v>
      </c>
      <c r="V15" t="s">
        <v>111</v>
      </c>
      <c r="W15">
        <v>80</v>
      </c>
      <c r="X15">
        <v>1200</v>
      </c>
      <c r="Y15" t="s">
        <v>149</v>
      </c>
      <c r="Z15">
        <v>352</v>
      </c>
    </row>
    <row r="16" spans="1:26" x14ac:dyDescent="0.3">
      <c r="A16" t="s">
        <v>86</v>
      </c>
      <c r="B16">
        <v>20390</v>
      </c>
      <c r="C16">
        <v>444</v>
      </c>
      <c r="D16" s="1">
        <v>46160</v>
      </c>
      <c r="E16" t="s">
        <v>88</v>
      </c>
      <c r="F16">
        <v>5</v>
      </c>
      <c r="G16" t="s">
        <v>288</v>
      </c>
      <c r="H16" t="s">
        <v>163</v>
      </c>
      <c r="I16" t="s">
        <v>163</v>
      </c>
      <c r="J16" t="s">
        <v>141</v>
      </c>
      <c r="K16" t="s">
        <v>100</v>
      </c>
      <c r="L16" t="s">
        <v>101</v>
      </c>
      <c r="M16">
        <v>23</v>
      </c>
      <c r="N16" t="s">
        <v>142</v>
      </c>
      <c r="O16" t="s">
        <v>143</v>
      </c>
      <c r="P16" t="s">
        <v>95</v>
      </c>
      <c r="Q16" t="s">
        <v>148</v>
      </c>
      <c r="R16">
        <v>15</v>
      </c>
      <c r="S16" t="s">
        <v>89</v>
      </c>
      <c r="T16" t="s">
        <v>89</v>
      </c>
      <c r="U16" t="s">
        <v>90</v>
      </c>
      <c r="V16" t="s">
        <v>117</v>
      </c>
      <c r="W16">
        <v>80</v>
      </c>
      <c r="X16">
        <v>1200</v>
      </c>
      <c r="Y16" t="s">
        <v>149</v>
      </c>
      <c r="Z16">
        <v>352</v>
      </c>
    </row>
    <row r="17" spans="1:26" x14ac:dyDescent="0.3">
      <c r="A17" t="s">
        <v>86</v>
      </c>
      <c r="B17">
        <v>20391</v>
      </c>
      <c r="C17">
        <v>444</v>
      </c>
      <c r="D17" s="1">
        <v>46160</v>
      </c>
      <c r="E17" t="s">
        <v>88</v>
      </c>
      <c r="F17">
        <v>5</v>
      </c>
      <c r="G17" t="s">
        <v>288</v>
      </c>
      <c r="H17" t="s">
        <v>164</v>
      </c>
      <c r="I17" t="s">
        <v>164</v>
      </c>
      <c r="J17" t="s">
        <v>141</v>
      </c>
      <c r="K17" t="s">
        <v>100</v>
      </c>
      <c r="L17" t="s">
        <v>101</v>
      </c>
      <c r="M17">
        <v>23</v>
      </c>
      <c r="N17" t="s">
        <v>142</v>
      </c>
      <c r="O17" t="s">
        <v>143</v>
      </c>
      <c r="P17" t="s">
        <v>95</v>
      </c>
      <c r="Q17" t="s">
        <v>148</v>
      </c>
      <c r="R17">
        <v>15</v>
      </c>
      <c r="S17" t="s">
        <v>89</v>
      </c>
      <c r="T17" t="s">
        <v>89</v>
      </c>
      <c r="U17" t="s">
        <v>90</v>
      </c>
      <c r="V17" t="s">
        <v>111</v>
      </c>
      <c r="W17">
        <v>80</v>
      </c>
      <c r="X17">
        <v>1200</v>
      </c>
      <c r="Y17" t="s">
        <v>149</v>
      </c>
      <c r="Z17">
        <v>352</v>
      </c>
    </row>
    <row r="18" spans="1:26" x14ac:dyDescent="0.3">
      <c r="A18" t="s">
        <v>86</v>
      </c>
      <c r="B18">
        <v>20392</v>
      </c>
      <c r="C18">
        <v>444</v>
      </c>
      <c r="D18" s="1">
        <v>46160</v>
      </c>
      <c r="E18" t="s">
        <v>88</v>
      </c>
      <c r="F18">
        <v>5</v>
      </c>
      <c r="G18" t="s">
        <v>288</v>
      </c>
      <c r="H18" t="s">
        <v>165</v>
      </c>
      <c r="I18" t="s">
        <v>165</v>
      </c>
      <c r="J18" t="s">
        <v>141</v>
      </c>
      <c r="K18" t="s">
        <v>100</v>
      </c>
      <c r="L18" t="s">
        <v>101</v>
      </c>
      <c r="M18">
        <v>23</v>
      </c>
      <c r="N18" t="s">
        <v>142</v>
      </c>
      <c r="O18" t="s">
        <v>143</v>
      </c>
      <c r="P18" t="s">
        <v>95</v>
      </c>
      <c r="Q18" t="s">
        <v>148</v>
      </c>
      <c r="R18">
        <v>15</v>
      </c>
      <c r="S18" t="s">
        <v>89</v>
      </c>
      <c r="T18" t="s">
        <v>89</v>
      </c>
      <c r="U18" t="s">
        <v>90</v>
      </c>
      <c r="V18" t="s">
        <v>117</v>
      </c>
      <c r="W18">
        <v>80</v>
      </c>
      <c r="X18">
        <v>1200</v>
      </c>
      <c r="Y18" t="s">
        <v>149</v>
      </c>
      <c r="Z18">
        <v>352</v>
      </c>
    </row>
    <row r="19" spans="1:26" x14ac:dyDescent="0.3">
      <c r="A19" t="s">
        <v>86</v>
      </c>
      <c r="B19">
        <v>20393</v>
      </c>
      <c r="C19">
        <v>444</v>
      </c>
      <c r="D19" s="1">
        <v>46160</v>
      </c>
      <c r="E19" t="s">
        <v>88</v>
      </c>
      <c r="F19">
        <v>5</v>
      </c>
      <c r="G19" t="s">
        <v>288</v>
      </c>
      <c r="H19" t="s">
        <v>166</v>
      </c>
      <c r="I19" t="s">
        <v>166</v>
      </c>
      <c r="J19" t="s">
        <v>141</v>
      </c>
      <c r="K19" t="s">
        <v>100</v>
      </c>
      <c r="L19" t="s">
        <v>101</v>
      </c>
      <c r="M19">
        <v>23</v>
      </c>
      <c r="N19" t="s">
        <v>142</v>
      </c>
      <c r="O19" t="s">
        <v>143</v>
      </c>
      <c r="P19" t="s">
        <v>95</v>
      </c>
      <c r="Q19" t="s">
        <v>148</v>
      </c>
      <c r="R19">
        <v>15</v>
      </c>
      <c r="S19" t="s">
        <v>89</v>
      </c>
      <c r="T19" t="s">
        <v>89</v>
      </c>
      <c r="U19" t="s">
        <v>90</v>
      </c>
      <c r="V19" t="s">
        <v>111</v>
      </c>
      <c r="W19">
        <v>80</v>
      </c>
      <c r="X19">
        <v>1200</v>
      </c>
      <c r="Y19" t="s">
        <v>149</v>
      </c>
      <c r="Z19">
        <v>352</v>
      </c>
    </row>
    <row r="20" spans="1:26" x14ac:dyDescent="0.3">
      <c r="A20" t="s">
        <v>86</v>
      </c>
      <c r="B20">
        <v>20394</v>
      </c>
      <c r="C20">
        <v>444</v>
      </c>
      <c r="D20" s="1">
        <v>46160</v>
      </c>
      <c r="E20" t="s">
        <v>88</v>
      </c>
      <c r="F20">
        <v>5</v>
      </c>
      <c r="G20" t="s">
        <v>288</v>
      </c>
      <c r="H20" t="s">
        <v>167</v>
      </c>
      <c r="I20" t="s">
        <v>167</v>
      </c>
      <c r="J20" t="s">
        <v>141</v>
      </c>
      <c r="K20" t="s">
        <v>100</v>
      </c>
      <c r="L20" t="s">
        <v>101</v>
      </c>
      <c r="M20">
        <v>23</v>
      </c>
      <c r="N20" t="s">
        <v>142</v>
      </c>
      <c r="O20" t="s">
        <v>143</v>
      </c>
      <c r="P20" t="s">
        <v>95</v>
      </c>
      <c r="Q20" t="s">
        <v>148</v>
      </c>
      <c r="R20">
        <v>15</v>
      </c>
      <c r="S20" t="s">
        <v>89</v>
      </c>
      <c r="T20" t="s">
        <v>89</v>
      </c>
      <c r="U20" t="s">
        <v>90</v>
      </c>
      <c r="V20" t="s">
        <v>109</v>
      </c>
      <c r="W20">
        <v>80</v>
      </c>
      <c r="X20">
        <v>1200</v>
      </c>
      <c r="Y20" t="s">
        <v>149</v>
      </c>
      <c r="Z20">
        <v>352</v>
      </c>
    </row>
    <row r="21" spans="1:26" x14ac:dyDescent="0.3">
      <c r="A21" t="s">
        <v>86</v>
      </c>
      <c r="B21">
        <v>20395</v>
      </c>
      <c r="C21">
        <v>444</v>
      </c>
      <c r="D21" s="1">
        <v>46160</v>
      </c>
      <c r="E21" t="s">
        <v>88</v>
      </c>
      <c r="F21">
        <v>5</v>
      </c>
      <c r="G21" t="s">
        <v>288</v>
      </c>
      <c r="H21" t="s">
        <v>168</v>
      </c>
      <c r="I21" t="s">
        <v>168</v>
      </c>
      <c r="J21" t="s">
        <v>141</v>
      </c>
      <c r="K21" t="s">
        <v>100</v>
      </c>
      <c r="L21" t="s">
        <v>101</v>
      </c>
      <c r="M21">
        <v>23</v>
      </c>
      <c r="N21" t="s">
        <v>142</v>
      </c>
      <c r="O21" t="s">
        <v>143</v>
      </c>
      <c r="P21" t="s">
        <v>95</v>
      </c>
      <c r="Q21" t="s">
        <v>148</v>
      </c>
      <c r="R21">
        <v>15</v>
      </c>
      <c r="S21" t="s">
        <v>89</v>
      </c>
      <c r="T21" t="s">
        <v>89</v>
      </c>
      <c r="U21" t="s">
        <v>90</v>
      </c>
      <c r="V21" t="s">
        <v>117</v>
      </c>
      <c r="W21">
        <v>80</v>
      </c>
      <c r="X21">
        <v>1200</v>
      </c>
      <c r="Y21" t="s">
        <v>149</v>
      </c>
      <c r="Z21">
        <v>352</v>
      </c>
    </row>
    <row r="22" spans="1:26" x14ac:dyDescent="0.3">
      <c r="A22" t="s">
        <v>86</v>
      </c>
      <c r="B22">
        <v>20396</v>
      </c>
      <c r="C22">
        <v>446</v>
      </c>
      <c r="D22" s="1">
        <v>46164</v>
      </c>
      <c r="E22" t="s">
        <v>88</v>
      </c>
      <c r="F22">
        <v>5</v>
      </c>
      <c r="G22" t="s">
        <v>288</v>
      </c>
      <c r="H22" t="s">
        <v>172</v>
      </c>
      <c r="I22" t="s">
        <v>172</v>
      </c>
      <c r="J22" t="s">
        <v>173</v>
      </c>
      <c r="K22" t="s">
        <v>100</v>
      </c>
      <c r="L22" t="s">
        <v>101</v>
      </c>
      <c r="M22">
        <v>23</v>
      </c>
      <c r="N22" t="s">
        <v>142</v>
      </c>
      <c r="O22" t="s">
        <v>174</v>
      </c>
      <c r="P22" t="s">
        <v>175</v>
      </c>
      <c r="Q22" t="s">
        <v>103</v>
      </c>
      <c r="R22">
        <v>15</v>
      </c>
      <c r="S22" t="s">
        <v>89</v>
      </c>
      <c r="T22" t="s">
        <v>89</v>
      </c>
      <c r="U22" t="s">
        <v>90</v>
      </c>
      <c r="V22" t="s">
        <v>105</v>
      </c>
      <c r="W22">
        <v>36</v>
      </c>
      <c r="X22">
        <v>540</v>
      </c>
      <c r="Y22" t="s">
        <v>149</v>
      </c>
      <c r="Z22">
        <v>352</v>
      </c>
    </row>
    <row r="23" spans="1:26" x14ac:dyDescent="0.3">
      <c r="A23" t="s">
        <v>86</v>
      </c>
      <c r="B23">
        <v>20397</v>
      </c>
      <c r="C23">
        <v>446</v>
      </c>
      <c r="D23" s="1">
        <v>46164</v>
      </c>
      <c r="E23" t="s">
        <v>88</v>
      </c>
      <c r="F23">
        <v>5</v>
      </c>
      <c r="G23" t="s">
        <v>288</v>
      </c>
      <c r="H23" t="s">
        <v>172</v>
      </c>
      <c r="I23" t="s">
        <v>172</v>
      </c>
      <c r="J23" t="s">
        <v>173</v>
      </c>
      <c r="K23" t="s">
        <v>100</v>
      </c>
      <c r="L23" t="s">
        <v>101</v>
      </c>
      <c r="M23">
        <v>23</v>
      </c>
      <c r="N23" t="s">
        <v>142</v>
      </c>
      <c r="O23" t="s">
        <v>174</v>
      </c>
      <c r="P23" t="s">
        <v>175</v>
      </c>
      <c r="Q23" t="s">
        <v>103</v>
      </c>
      <c r="R23">
        <v>15</v>
      </c>
      <c r="S23" t="s">
        <v>89</v>
      </c>
      <c r="T23" t="s">
        <v>89</v>
      </c>
      <c r="U23" t="s">
        <v>90</v>
      </c>
      <c r="V23" t="s">
        <v>105</v>
      </c>
      <c r="W23">
        <v>24</v>
      </c>
      <c r="X23">
        <v>360</v>
      </c>
      <c r="Y23" t="s">
        <v>149</v>
      </c>
      <c r="Z23">
        <v>352</v>
      </c>
    </row>
    <row r="24" spans="1:26" x14ac:dyDescent="0.3">
      <c r="A24" t="s">
        <v>86</v>
      </c>
      <c r="B24">
        <v>20398</v>
      </c>
      <c r="C24">
        <v>446</v>
      </c>
      <c r="D24" s="1">
        <v>46164</v>
      </c>
      <c r="E24" t="s">
        <v>88</v>
      </c>
      <c r="F24">
        <v>5</v>
      </c>
      <c r="G24" t="s">
        <v>288</v>
      </c>
      <c r="H24" t="s">
        <v>183</v>
      </c>
      <c r="I24" t="s">
        <v>183</v>
      </c>
      <c r="J24" t="s">
        <v>173</v>
      </c>
      <c r="K24" t="s">
        <v>100</v>
      </c>
      <c r="L24" t="s">
        <v>101</v>
      </c>
      <c r="M24">
        <v>23</v>
      </c>
      <c r="N24" t="s">
        <v>142</v>
      </c>
      <c r="O24" t="s">
        <v>174</v>
      </c>
      <c r="P24" t="s">
        <v>175</v>
      </c>
      <c r="Q24" t="s">
        <v>103</v>
      </c>
      <c r="R24">
        <v>15</v>
      </c>
      <c r="S24" t="s">
        <v>89</v>
      </c>
      <c r="T24" t="s">
        <v>89</v>
      </c>
      <c r="U24" t="s">
        <v>90</v>
      </c>
      <c r="V24" t="s">
        <v>107</v>
      </c>
      <c r="W24">
        <v>60</v>
      </c>
      <c r="X24">
        <v>900</v>
      </c>
      <c r="Y24" t="s">
        <v>149</v>
      </c>
      <c r="Z24">
        <v>352</v>
      </c>
    </row>
    <row r="25" spans="1:26" x14ac:dyDescent="0.3">
      <c r="A25" t="s">
        <v>86</v>
      </c>
      <c r="B25">
        <v>20399</v>
      </c>
      <c r="C25">
        <v>446</v>
      </c>
      <c r="D25" s="1">
        <v>46164</v>
      </c>
      <c r="E25" t="s">
        <v>88</v>
      </c>
      <c r="F25">
        <v>5</v>
      </c>
      <c r="G25" t="s">
        <v>288</v>
      </c>
      <c r="H25" t="s">
        <v>184</v>
      </c>
      <c r="I25" t="s">
        <v>184</v>
      </c>
      <c r="J25" t="s">
        <v>173</v>
      </c>
      <c r="K25" t="s">
        <v>100</v>
      </c>
      <c r="L25" t="s">
        <v>101</v>
      </c>
      <c r="M25">
        <v>23</v>
      </c>
      <c r="N25" t="s">
        <v>142</v>
      </c>
      <c r="O25" t="s">
        <v>174</v>
      </c>
      <c r="P25" t="s">
        <v>175</v>
      </c>
      <c r="Q25" t="s">
        <v>103</v>
      </c>
      <c r="R25">
        <v>15</v>
      </c>
      <c r="S25" t="s">
        <v>89</v>
      </c>
      <c r="T25" t="s">
        <v>89</v>
      </c>
      <c r="U25" t="s">
        <v>90</v>
      </c>
      <c r="V25" t="s">
        <v>105</v>
      </c>
      <c r="W25">
        <v>60</v>
      </c>
      <c r="X25">
        <v>900</v>
      </c>
      <c r="Y25" t="s">
        <v>149</v>
      </c>
      <c r="Z25">
        <v>352</v>
      </c>
    </row>
    <row r="26" spans="1:26" x14ac:dyDescent="0.3">
      <c r="A26" t="s">
        <v>86</v>
      </c>
      <c r="B26">
        <v>20400</v>
      </c>
      <c r="C26">
        <v>446</v>
      </c>
      <c r="D26" s="1">
        <v>46164</v>
      </c>
      <c r="E26" t="s">
        <v>88</v>
      </c>
      <c r="F26">
        <v>5</v>
      </c>
      <c r="G26" t="s">
        <v>288</v>
      </c>
      <c r="H26" t="s">
        <v>185</v>
      </c>
      <c r="I26" t="s">
        <v>185</v>
      </c>
      <c r="J26" t="s">
        <v>173</v>
      </c>
      <c r="K26" t="s">
        <v>100</v>
      </c>
      <c r="L26" t="s">
        <v>101</v>
      </c>
      <c r="M26">
        <v>23</v>
      </c>
      <c r="N26" t="s">
        <v>142</v>
      </c>
      <c r="O26" t="s">
        <v>174</v>
      </c>
      <c r="P26" t="s">
        <v>175</v>
      </c>
      <c r="Q26" t="s">
        <v>103</v>
      </c>
      <c r="R26">
        <v>15</v>
      </c>
      <c r="S26" t="s">
        <v>89</v>
      </c>
      <c r="T26" t="s">
        <v>89</v>
      </c>
      <c r="U26" t="s">
        <v>90</v>
      </c>
      <c r="V26" t="s">
        <v>107</v>
      </c>
      <c r="W26">
        <v>60</v>
      </c>
      <c r="X26">
        <v>900</v>
      </c>
      <c r="Y26" t="s">
        <v>149</v>
      </c>
      <c r="Z26">
        <v>352</v>
      </c>
    </row>
    <row r="27" spans="1:26" x14ac:dyDescent="0.3">
      <c r="A27" t="s">
        <v>86</v>
      </c>
      <c r="B27">
        <v>20401</v>
      </c>
      <c r="C27">
        <v>446</v>
      </c>
      <c r="D27" s="1">
        <v>46164</v>
      </c>
      <c r="E27" t="s">
        <v>88</v>
      </c>
      <c r="F27">
        <v>5</v>
      </c>
      <c r="G27" t="s">
        <v>288</v>
      </c>
      <c r="H27" t="s">
        <v>186</v>
      </c>
      <c r="I27" t="s">
        <v>186</v>
      </c>
      <c r="J27" t="s">
        <v>173</v>
      </c>
      <c r="K27" t="s">
        <v>100</v>
      </c>
      <c r="L27" t="s">
        <v>101</v>
      </c>
      <c r="M27">
        <v>23</v>
      </c>
      <c r="N27" t="s">
        <v>142</v>
      </c>
      <c r="O27" t="s">
        <v>174</v>
      </c>
      <c r="P27" t="s">
        <v>175</v>
      </c>
      <c r="Q27" t="s">
        <v>103</v>
      </c>
      <c r="R27">
        <v>15</v>
      </c>
      <c r="S27" t="s">
        <v>89</v>
      </c>
      <c r="T27" t="s">
        <v>89</v>
      </c>
      <c r="U27" t="s">
        <v>90</v>
      </c>
      <c r="V27" t="s">
        <v>107</v>
      </c>
      <c r="W27">
        <v>60</v>
      </c>
      <c r="X27">
        <v>900</v>
      </c>
      <c r="Y27" t="s">
        <v>149</v>
      </c>
      <c r="Z27">
        <v>352</v>
      </c>
    </row>
    <row r="28" spans="1:26" x14ac:dyDescent="0.3">
      <c r="A28" t="s">
        <v>86</v>
      </c>
      <c r="B28">
        <v>20402</v>
      </c>
      <c r="C28">
        <v>446</v>
      </c>
      <c r="D28" s="1">
        <v>46164</v>
      </c>
      <c r="E28" t="s">
        <v>88</v>
      </c>
      <c r="F28">
        <v>5</v>
      </c>
      <c r="G28" t="s">
        <v>288</v>
      </c>
      <c r="H28" t="s">
        <v>187</v>
      </c>
      <c r="I28" t="s">
        <v>187</v>
      </c>
      <c r="J28" t="s">
        <v>173</v>
      </c>
      <c r="K28" t="s">
        <v>100</v>
      </c>
      <c r="L28" t="s">
        <v>101</v>
      </c>
      <c r="M28">
        <v>23</v>
      </c>
      <c r="N28" t="s">
        <v>142</v>
      </c>
      <c r="O28" t="s">
        <v>174</v>
      </c>
      <c r="P28" t="s">
        <v>175</v>
      </c>
      <c r="Q28" t="s">
        <v>103</v>
      </c>
      <c r="R28">
        <v>15</v>
      </c>
      <c r="S28" t="s">
        <v>89</v>
      </c>
      <c r="T28" t="s">
        <v>89</v>
      </c>
      <c r="U28" t="s">
        <v>90</v>
      </c>
      <c r="V28" t="s">
        <v>107</v>
      </c>
      <c r="W28">
        <v>60</v>
      </c>
      <c r="X28">
        <v>900</v>
      </c>
      <c r="Y28" t="s">
        <v>149</v>
      </c>
      <c r="Z28">
        <v>352</v>
      </c>
    </row>
    <row r="29" spans="1:26" x14ac:dyDescent="0.3">
      <c r="A29" t="s">
        <v>86</v>
      </c>
      <c r="B29">
        <v>20403</v>
      </c>
      <c r="C29">
        <v>446</v>
      </c>
      <c r="D29" s="1">
        <v>46164</v>
      </c>
      <c r="E29" t="s">
        <v>88</v>
      </c>
      <c r="F29">
        <v>5</v>
      </c>
      <c r="G29" t="s">
        <v>288</v>
      </c>
      <c r="H29" t="s">
        <v>188</v>
      </c>
      <c r="I29" t="s">
        <v>188</v>
      </c>
      <c r="J29" t="s">
        <v>173</v>
      </c>
      <c r="K29" t="s">
        <v>100</v>
      </c>
      <c r="L29" t="s">
        <v>101</v>
      </c>
      <c r="M29">
        <v>23</v>
      </c>
      <c r="N29" t="s">
        <v>142</v>
      </c>
      <c r="O29" t="s">
        <v>174</v>
      </c>
      <c r="P29" t="s">
        <v>175</v>
      </c>
      <c r="Q29" t="s">
        <v>103</v>
      </c>
      <c r="R29">
        <v>15</v>
      </c>
      <c r="S29" t="s">
        <v>89</v>
      </c>
      <c r="T29" t="s">
        <v>89</v>
      </c>
      <c r="U29" t="s">
        <v>90</v>
      </c>
      <c r="V29" t="s">
        <v>105</v>
      </c>
      <c r="W29">
        <v>60</v>
      </c>
      <c r="X29">
        <v>900</v>
      </c>
      <c r="Y29" t="s">
        <v>149</v>
      </c>
      <c r="Z29">
        <v>352</v>
      </c>
    </row>
    <row r="30" spans="1:26" x14ac:dyDescent="0.3">
      <c r="A30" t="s">
        <v>86</v>
      </c>
      <c r="B30">
        <v>20404</v>
      </c>
      <c r="C30">
        <v>446</v>
      </c>
      <c r="D30" s="1">
        <v>46164</v>
      </c>
      <c r="E30" t="s">
        <v>88</v>
      </c>
      <c r="F30">
        <v>5</v>
      </c>
      <c r="G30" t="s">
        <v>288</v>
      </c>
      <c r="H30" t="s">
        <v>189</v>
      </c>
      <c r="I30" t="s">
        <v>189</v>
      </c>
      <c r="J30" t="s">
        <v>173</v>
      </c>
      <c r="K30" t="s">
        <v>100</v>
      </c>
      <c r="L30" t="s">
        <v>101</v>
      </c>
      <c r="M30">
        <v>23</v>
      </c>
      <c r="N30" t="s">
        <v>142</v>
      </c>
      <c r="O30" t="s">
        <v>174</v>
      </c>
      <c r="P30" t="s">
        <v>175</v>
      </c>
      <c r="Q30" t="s">
        <v>103</v>
      </c>
      <c r="R30">
        <v>15</v>
      </c>
      <c r="S30" t="s">
        <v>89</v>
      </c>
      <c r="T30" t="s">
        <v>89</v>
      </c>
      <c r="U30" t="s">
        <v>90</v>
      </c>
      <c r="V30" t="s">
        <v>107</v>
      </c>
      <c r="W30">
        <v>60</v>
      </c>
      <c r="X30">
        <v>900</v>
      </c>
      <c r="Y30" t="s">
        <v>149</v>
      </c>
      <c r="Z30">
        <v>352</v>
      </c>
    </row>
    <row r="31" spans="1:26" x14ac:dyDescent="0.3">
      <c r="A31" t="s">
        <v>86</v>
      </c>
      <c r="B31">
        <v>20405</v>
      </c>
      <c r="C31">
        <v>446</v>
      </c>
      <c r="D31" s="1">
        <v>46164</v>
      </c>
      <c r="E31" t="s">
        <v>88</v>
      </c>
      <c r="F31">
        <v>5</v>
      </c>
      <c r="G31" t="s">
        <v>288</v>
      </c>
      <c r="H31" t="s">
        <v>190</v>
      </c>
      <c r="I31" t="s">
        <v>190</v>
      </c>
      <c r="J31" t="s">
        <v>173</v>
      </c>
      <c r="K31" t="s">
        <v>100</v>
      </c>
      <c r="L31" t="s">
        <v>101</v>
      </c>
      <c r="M31">
        <v>23</v>
      </c>
      <c r="N31" t="s">
        <v>142</v>
      </c>
      <c r="O31" t="s">
        <v>174</v>
      </c>
      <c r="P31" t="s">
        <v>175</v>
      </c>
      <c r="Q31" t="s">
        <v>103</v>
      </c>
      <c r="R31">
        <v>15</v>
      </c>
      <c r="S31" t="s">
        <v>89</v>
      </c>
      <c r="T31" t="s">
        <v>89</v>
      </c>
      <c r="U31" t="s">
        <v>90</v>
      </c>
      <c r="V31" t="s">
        <v>107</v>
      </c>
      <c r="W31">
        <v>60</v>
      </c>
      <c r="X31">
        <v>900</v>
      </c>
      <c r="Y31" t="s">
        <v>149</v>
      </c>
      <c r="Z31">
        <v>352</v>
      </c>
    </row>
    <row r="32" spans="1:26" x14ac:dyDescent="0.3">
      <c r="A32" t="s">
        <v>86</v>
      </c>
      <c r="B32">
        <v>20406</v>
      </c>
      <c r="C32">
        <v>446</v>
      </c>
      <c r="D32" s="1">
        <v>46164</v>
      </c>
      <c r="E32" t="s">
        <v>88</v>
      </c>
      <c r="F32">
        <v>5</v>
      </c>
      <c r="G32" t="s">
        <v>288</v>
      </c>
      <c r="H32" t="s">
        <v>191</v>
      </c>
      <c r="I32" t="s">
        <v>191</v>
      </c>
      <c r="J32" t="s">
        <v>173</v>
      </c>
      <c r="K32" t="s">
        <v>100</v>
      </c>
      <c r="L32" t="s">
        <v>101</v>
      </c>
      <c r="M32">
        <v>23</v>
      </c>
      <c r="N32" t="s">
        <v>142</v>
      </c>
      <c r="O32" t="s">
        <v>174</v>
      </c>
      <c r="P32" t="s">
        <v>175</v>
      </c>
      <c r="Q32" t="s">
        <v>103</v>
      </c>
      <c r="R32">
        <v>15</v>
      </c>
      <c r="S32" t="s">
        <v>89</v>
      </c>
      <c r="T32" t="s">
        <v>89</v>
      </c>
      <c r="U32" t="s">
        <v>90</v>
      </c>
      <c r="V32" t="s">
        <v>105</v>
      </c>
      <c r="W32">
        <v>60</v>
      </c>
      <c r="X32">
        <v>900</v>
      </c>
      <c r="Y32" t="s">
        <v>149</v>
      </c>
      <c r="Z32">
        <v>352</v>
      </c>
    </row>
    <row r="33" spans="1:26" x14ac:dyDescent="0.3">
      <c r="A33" t="s">
        <v>86</v>
      </c>
      <c r="B33">
        <v>20407</v>
      </c>
      <c r="C33">
        <v>446</v>
      </c>
      <c r="D33" s="1">
        <v>46164</v>
      </c>
      <c r="E33" t="s">
        <v>88</v>
      </c>
      <c r="F33">
        <v>5</v>
      </c>
      <c r="G33" t="s">
        <v>288</v>
      </c>
      <c r="H33" t="s">
        <v>192</v>
      </c>
      <c r="I33" t="s">
        <v>192</v>
      </c>
      <c r="J33" t="s">
        <v>173</v>
      </c>
      <c r="K33" t="s">
        <v>100</v>
      </c>
      <c r="L33" t="s">
        <v>101</v>
      </c>
      <c r="M33">
        <v>23</v>
      </c>
      <c r="N33" t="s">
        <v>142</v>
      </c>
      <c r="O33" t="s">
        <v>174</v>
      </c>
      <c r="P33" t="s">
        <v>175</v>
      </c>
      <c r="Q33" t="s">
        <v>103</v>
      </c>
      <c r="R33">
        <v>15</v>
      </c>
      <c r="S33" t="s">
        <v>89</v>
      </c>
      <c r="T33" t="s">
        <v>89</v>
      </c>
      <c r="U33" t="s">
        <v>90</v>
      </c>
      <c r="V33" t="s">
        <v>107</v>
      </c>
      <c r="W33">
        <v>60</v>
      </c>
      <c r="X33">
        <v>900</v>
      </c>
      <c r="Y33" t="s">
        <v>149</v>
      </c>
      <c r="Z33">
        <v>352</v>
      </c>
    </row>
    <row r="34" spans="1:26" x14ac:dyDescent="0.3">
      <c r="A34" t="s">
        <v>86</v>
      </c>
      <c r="B34">
        <v>20408</v>
      </c>
      <c r="C34">
        <v>446</v>
      </c>
      <c r="D34" s="1">
        <v>46164</v>
      </c>
      <c r="E34" t="s">
        <v>88</v>
      </c>
      <c r="F34">
        <v>5</v>
      </c>
      <c r="G34" t="s">
        <v>288</v>
      </c>
      <c r="H34" t="s">
        <v>193</v>
      </c>
      <c r="I34" t="s">
        <v>193</v>
      </c>
      <c r="J34" t="s">
        <v>173</v>
      </c>
      <c r="K34" t="s">
        <v>100</v>
      </c>
      <c r="L34" t="s">
        <v>101</v>
      </c>
      <c r="M34">
        <v>23</v>
      </c>
      <c r="N34" t="s">
        <v>142</v>
      </c>
      <c r="O34" t="s">
        <v>174</v>
      </c>
      <c r="P34" t="s">
        <v>175</v>
      </c>
      <c r="Q34" t="s">
        <v>103</v>
      </c>
      <c r="R34">
        <v>15</v>
      </c>
      <c r="S34" t="s">
        <v>89</v>
      </c>
      <c r="T34" t="s">
        <v>89</v>
      </c>
      <c r="U34" t="s">
        <v>90</v>
      </c>
      <c r="V34" t="s">
        <v>105</v>
      </c>
      <c r="W34">
        <v>60</v>
      </c>
      <c r="X34">
        <v>900</v>
      </c>
      <c r="Y34" t="s">
        <v>149</v>
      </c>
      <c r="Z34">
        <v>352</v>
      </c>
    </row>
    <row r="35" spans="1:26" x14ac:dyDescent="0.3">
      <c r="A35" t="s">
        <v>86</v>
      </c>
      <c r="B35">
        <v>20409</v>
      </c>
      <c r="C35">
        <v>446</v>
      </c>
      <c r="D35" s="1">
        <v>46164</v>
      </c>
      <c r="E35" t="s">
        <v>88</v>
      </c>
      <c r="F35">
        <v>5</v>
      </c>
      <c r="G35" t="s">
        <v>288</v>
      </c>
      <c r="H35" t="s">
        <v>194</v>
      </c>
      <c r="I35" t="s">
        <v>194</v>
      </c>
      <c r="J35" t="s">
        <v>173</v>
      </c>
      <c r="K35" t="s">
        <v>100</v>
      </c>
      <c r="L35" t="s">
        <v>101</v>
      </c>
      <c r="M35">
        <v>23</v>
      </c>
      <c r="N35" t="s">
        <v>142</v>
      </c>
      <c r="O35" t="s">
        <v>174</v>
      </c>
      <c r="P35" t="s">
        <v>175</v>
      </c>
      <c r="Q35" t="s">
        <v>103</v>
      </c>
      <c r="R35">
        <v>15</v>
      </c>
      <c r="S35" t="s">
        <v>89</v>
      </c>
      <c r="T35" t="s">
        <v>89</v>
      </c>
      <c r="U35" t="s">
        <v>90</v>
      </c>
      <c r="V35" t="s">
        <v>107</v>
      </c>
      <c r="W35">
        <v>60</v>
      </c>
      <c r="X35">
        <v>900</v>
      </c>
      <c r="Y35" t="s">
        <v>149</v>
      </c>
      <c r="Z35">
        <v>352</v>
      </c>
    </row>
    <row r="36" spans="1:26" x14ac:dyDescent="0.3">
      <c r="A36" t="s">
        <v>86</v>
      </c>
      <c r="B36">
        <v>20410</v>
      </c>
      <c r="C36">
        <v>446</v>
      </c>
      <c r="D36" s="1">
        <v>46164</v>
      </c>
      <c r="E36" t="s">
        <v>88</v>
      </c>
      <c r="F36">
        <v>5</v>
      </c>
      <c r="G36" t="s">
        <v>288</v>
      </c>
      <c r="H36" t="s">
        <v>195</v>
      </c>
      <c r="I36" t="s">
        <v>195</v>
      </c>
      <c r="J36" t="s">
        <v>173</v>
      </c>
      <c r="K36" t="s">
        <v>100</v>
      </c>
      <c r="L36" t="s">
        <v>101</v>
      </c>
      <c r="M36">
        <v>23</v>
      </c>
      <c r="N36" t="s">
        <v>142</v>
      </c>
      <c r="O36" t="s">
        <v>174</v>
      </c>
      <c r="P36" t="s">
        <v>175</v>
      </c>
      <c r="Q36" t="s">
        <v>103</v>
      </c>
      <c r="R36">
        <v>15</v>
      </c>
      <c r="S36" t="s">
        <v>89</v>
      </c>
      <c r="T36" t="s">
        <v>89</v>
      </c>
      <c r="U36" t="s">
        <v>90</v>
      </c>
      <c r="V36" t="s">
        <v>105</v>
      </c>
      <c r="W36">
        <v>45</v>
      </c>
      <c r="X36">
        <v>675</v>
      </c>
      <c r="Y36" t="s">
        <v>149</v>
      </c>
      <c r="Z36">
        <v>352</v>
      </c>
    </row>
    <row r="37" spans="1:26" x14ac:dyDescent="0.3">
      <c r="A37" t="s">
        <v>86</v>
      </c>
      <c r="B37">
        <v>20411</v>
      </c>
      <c r="C37">
        <v>446</v>
      </c>
      <c r="D37" s="1">
        <v>46164</v>
      </c>
      <c r="E37" t="s">
        <v>88</v>
      </c>
      <c r="F37">
        <v>5</v>
      </c>
      <c r="G37" t="s">
        <v>288</v>
      </c>
      <c r="H37" t="s">
        <v>195</v>
      </c>
      <c r="I37" t="s">
        <v>195</v>
      </c>
      <c r="J37" t="s">
        <v>173</v>
      </c>
      <c r="K37" t="s">
        <v>100</v>
      </c>
      <c r="L37" t="s">
        <v>101</v>
      </c>
      <c r="M37">
        <v>23</v>
      </c>
      <c r="N37" t="s">
        <v>142</v>
      </c>
      <c r="O37" t="s">
        <v>174</v>
      </c>
      <c r="P37" t="s">
        <v>175</v>
      </c>
      <c r="Q37" t="s">
        <v>103</v>
      </c>
      <c r="R37">
        <v>15</v>
      </c>
      <c r="S37" t="s">
        <v>89</v>
      </c>
      <c r="T37" t="s">
        <v>89</v>
      </c>
      <c r="U37" t="s">
        <v>90</v>
      </c>
      <c r="V37" t="s">
        <v>105</v>
      </c>
      <c r="W37">
        <v>15</v>
      </c>
      <c r="X37">
        <v>225</v>
      </c>
      <c r="Y37" t="s">
        <v>149</v>
      </c>
      <c r="Z37">
        <v>352</v>
      </c>
    </row>
    <row r="38" spans="1:26" x14ac:dyDescent="0.3">
      <c r="A38" t="s">
        <v>86</v>
      </c>
      <c r="B38">
        <v>20412</v>
      </c>
      <c r="C38">
        <v>446</v>
      </c>
      <c r="D38" s="1">
        <v>46164</v>
      </c>
      <c r="E38" t="s">
        <v>88</v>
      </c>
      <c r="F38">
        <v>5</v>
      </c>
      <c r="G38" t="s">
        <v>288</v>
      </c>
      <c r="H38" t="s">
        <v>196</v>
      </c>
      <c r="I38" t="s">
        <v>196</v>
      </c>
      <c r="J38" t="s">
        <v>173</v>
      </c>
      <c r="K38" t="s">
        <v>100</v>
      </c>
      <c r="L38" t="s">
        <v>101</v>
      </c>
      <c r="M38">
        <v>23</v>
      </c>
      <c r="N38" t="s">
        <v>142</v>
      </c>
      <c r="O38" t="s">
        <v>174</v>
      </c>
      <c r="P38" t="s">
        <v>175</v>
      </c>
      <c r="Q38" t="s">
        <v>103</v>
      </c>
      <c r="R38">
        <v>15</v>
      </c>
      <c r="S38" t="s">
        <v>89</v>
      </c>
      <c r="T38" t="s">
        <v>89</v>
      </c>
      <c r="U38" t="s">
        <v>90</v>
      </c>
      <c r="V38" t="s">
        <v>107</v>
      </c>
      <c r="W38">
        <v>60</v>
      </c>
      <c r="X38">
        <v>900</v>
      </c>
      <c r="Y38" t="s">
        <v>149</v>
      </c>
      <c r="Z38">
        <v>352</v>
      </c>
    </row>
    <row r="39" spans="1:26" x14ac:dyDescent="0.3">
      <c r="A39" t="s">
        <v>86</v>
      </c>
      <c r="B39">
        <v>20413</v>
      </c>
      <c r="C39">
        <v>446</v>
      </c>
      <c r="D39" s="1">
        <v>46164</v>
      </c>
      <c r="E39" t="s">
        <v>88</v>
      </c>
      <c r="F39">
        <v>5</v>
      </c>
      <c r="G39" t="s">
        <v>288</v>
      </c>
      <c r="H39" t="s">
        <v>197</v>
      </c>
      <c r="I39" t="s">
        <v>197</v>
      </c>
      <c r="J39" t="s">
        <v>173</v>
      </c>
      <c r="K39" t="s">
        <v>100</v>
      </c>
      <c r="L39" t="s">
        <v>101</v>
      </c>
      <c r="M39">
        <v>23</v>
      </c>
      <c r="N39" t="s">
        <v>142</v>
      </c>
      <c r="O39" t="s">
        <v>174</v>
      </c>
      <c r="P39" t="s">
        <v>175</v>
      </c>
      <c r="Q39" t="s">
        <v>103</v>
      </c>
      <c r="R39">
        <v>15</v>
      </c>
      <c r="S39" t="s">
        <v>89</v>
      </c>
      <c r="T39" t="s">
        <v>89</v>
      </c>
      <c r="U39" t="s">
        <v>90</v>
      </c>
      <c r="V39" t="s">
        <v>105</v>
      </c>
      <c r="W39">
        <v>60</v>
      </c>
      <c r="X39">
        <v>900</v>
      </c>
      <c r="Y39" t="s">
        <v>149</v>
      </c>
      <c r="Z39">
        <v>352</v>
      </c>
    </row>
    <row r="40" spans="1:26" x14ac:dyDescent="0.3">
      <c r="A40" t="s">
        <v>86</v>
      </c>
      <c r="B40">
        <v>20414</v>
      </c>
      <c r="C40">
        <v>446</v>
      </c>
      <c r="D40" s="1">
        <v>46164</v>
      </c>
      <c r="E40" t="s">
        <v>88</v>
      </c>
      <c r="F40">
        <v>5</v>
      </c>
      <c r="G40" t="s">
        <v>288</v>
      </c>
      <c r="H40" t="s">
        <v>198</v>
      </c>
      <c r="I40" t="s">
        <v>198</v>
      </c>
      <c r="J40" t="s">
        <v>173</v>
      </c>
      <c r="K40" t="s">
        <v>100</v>
      </c>
      <c r="L40" t="s">
        <v>101</v>
      </c>
      <c r="M40">
        <v>23</v>
      </c>
      <c r="N40" t="s">
        <v>142</v>
      </c>
      <c r="O40" t="s">
        <v>174</v>
      </c>
      <c r="P40" t="s">
        <v>175</v>
      </c>
      <c r="Q40" t="s">
        <v>103</v>
      </c>
      <c r="R40">
        <v>15</v>
      </c>
      <c r="S40" t="s">
        <v>89</v>
      </c>
      <c r="T40" t="s">
        <v>89</v>
      </c>
      <c r="U40" t="s">
        <v>90</v>
      </c>
      <c r="V40" t="s">
        <v>107</v>
      </c>
      <c r="W40">
        <v>60</v>
      </c>
      <c r="X40">
        <v>900</v>
      </c>
      <c r="Y40" t="s">
        <v>149</v>
      </c>
      <c r="Z40">
        <v>352</v>
      </c>
    </row>
    <row r="41" spans="1:26" x14ac:dyDescent="0.3">
      <c r="A41" t="s">
        <v>86</v>
      </c>
      <c r="B41">
        <v>20415</v>
      </c>
      <c r="C41">
        <v>446</v>
      </c>
      <c r="D41" s="1">
        <v>46164</v>
      </c>
      <c r="E41" t="s">
        <v>88</v>
      </c>
      <c r="F41">
        <v>5</v>
      </c>
      <c r="G41" t="s">
        <v>288</v>
      </c>
      <c r="H41" t="s">
        <v>199</v>
      </c>
      <c r="I41" t="s">
        <v>199</v>
      </c>
      <c r="J41" t="s">
        <v>173</v>
      </c>
      <c r="K41" t="s">
        <v>100</v>
      </c>
      <c r="L41" t="s">
        <v>101</v>
      </c>
      <c r="M41">
        <v>23</v>
      </c>
      <c r="N41" t="s">
        <v>142</v>
      </c>
      <c r="O41" t="s">
        <v>174</v>
      </c>
      <c r="P41" t="s">
        <v>175</v>
      </c>
      <c r="Q41" t="s">
        <v>103</v>
      </c>
      <c r="R41">
        <v>15</v>
      </c>
      <c r="S41" t="s">
        <v>89</v>
      </c>
      <c r="T41" t="s">
        <v>89</v>
      </c>
      <c r="U41" t="s">
        <v>90</v>
      </c>
      <c r="V41" t="s">
        <v>107</v>
      </c>
      <c r="W41">
        <v>60</v>
      </c>
      <c r="X41">
        <v>900</v>
      </c>
      <c r="Y41" t="s">
        <v>149</v>
      </c>
      <c r="Z41">
        <v>352</v>
      </c>
    </row>
    <row r="42" spans="1:26" x14ac:dyDescent="0.3">
      <c r="A42" t="s">
        <v>86</v>
      </c>
      <c r="B42">
        <v>20416</v>
      </c>
      <c r="C42">
        <v>446</v>
      </c>
      <c r="D42" s="1">
        <v>46164</v>
      </c>
      <c r="E42" t="s">
        <v>88</v>
      </c>
      <c r="F42">
        <v>5</v>
      </c>
      <c r="G42" t="s">
        <v>288</v>
      </c>
      <c r="H42" t="s">
        <v>200</v>
      </c>
      <c r="I42" t="s">
        <v>200</v>
      </c>
      <c r="J42" t="s">
        <v>173</v>
      </c>
      <c r="K42" t="s">
        <v>100</v>
      </c>
      <c r="L42" t="s">
        <v>101</v>
      </c>
      <c r="M42">
        <v>23</v>
      </c>
      <c r="N42" t="s">
        <v>142</v>
      </c>
      <c r="O42" t="s">
        <v>174</v>
      </c>
      <c r="P42" t="s">
        <v>175</v>
      </c>
      <c r="Q42" t="s">
        <v>103</v>
      </c>
      <c r="R42">
        <v>15</v>
      </c>
      <c r="S42" t="s">
        <v>89</v>
      </c>
      <c r="T42" t="s">
        <v>89</v>
      </c>
      <c r="U42" t="s">
        <v>90</v>
      </c>
      <c r="V42" t="s">
        <v>107</v>
      </c>
      <c r="W42">
        <v>60</v>
      </c>
      <c r="X42">
        <v>900</v>
      </c>
      <c r="Y42" t="s">
        <v>149</v>
      </c>
      <c r="Z42">
        <v>352</v>
      </c>
    </row>
    <row r="43" spans="1:26" x14ac:dyDescent="0.3">
      <c r="A43" t="s">
        <v>86</v>
      </c>
      <c r="B43">
        <v>20417</v>
      </c>
      <c r="C43">
        <v>446</v>
      </c>
      <c r="D43" s="1">
        <v>46164</v>
      </c>
      <c r="E43" t="s">
        <v>88</v>
      </c>
      <c r="F43">
        <v>5</v>
      </c>
      <c r="G43" t="s">
        <v>288</v>
      </c>
      <c r="H43" t="s">
        <v>201</v>
      </c>
      <c r="I43" t="s">
        <v>201</v>
      </c>
      <c r="J43" t="s">
        <v>173</v>
      </c>
      <c r="K43" t="s">
        <v>100</v>
      </c>
      <c r="L43" t="s">
        <v>101</v>
      </c>
      <c r="M43">
        <v>23</v>
      </c>
      <c r="N43" t="s">
        <v>142</v>
      </c>
      <c r="O43" t="s">
        <v>174</v>
      </c>
      <c r="P43" t="s">
        <v>175</v>
      </c>
      <c r="Q43" t="s">
        <v>103</v>
      </c>
      <c r="R43">
        <v>15</v>
      </c>
      <c r="S43" t="s">
        <v>89</v>
      </c>
      <c r="T43" t="s">
        <v>89</v>
      </c>
      <c r="U43" t="s">
        <v>90</v>
      </c>
      <c r="V43" t="s">
        <v>105</v>
      </c>
      <c r="W43">
        <v>60</v>
      </c>
      <c r="X43">
        <v>900</v>
      </c>
      <c r="Y43" t="s">
        <v>149</v>
      </c>
      <c r="Z43">
        <v>352</v>
      </c>
    </row>
    <row r="44" spans="1:26" x14ac:dyDescent="0.3">
      <c r="A44" t="s">
        <v>86</v>
      </c>
      <c r="B44">
        <v>20418</v>
      </c>
      <c r="C44">
        <v>445</v>
      </c>
      <c r="D44" s="1">
        <v>46167</v>
      </c>
      <c r="E44" t="s">
        <v>88</v>
      </c>
      <c r="F44">
        <v>5</v>
      </c>
      <c r="G44" t="s">
        <v>288</v>
      </c>
      <c r="H44" t="s">
        <v>203</v>
      </c>
      <c r="I44" t="s">
        <v>203</v>
      </c>
      <c r="J44" t="s">
        <v>204</v>
      </c>
      <c r="K44" t="s">
        <v>100</v>
      </c>
      <c r="L44" t="s">
        <v>101</v>
      </c>
      <c r="M44">
        <v>23</v>
      </c>
      <c r="N44" t="s">
        <v>142</v>
      </c>
      <c r="O44" t="s">
        <v>143</v>
      </c>
      <c r="P44" t="s">
        <v>95</v>
      </c>
      <c r="Q44" t="s">
        <v>208</v>
      </c>
      <c r="R44">
        <v>15</v>
      </c>
      <c r="S44" t="s">
        <v>89</v>
      </c>
      <c r="T44" t="s">
        <v>89</v>
      </c>
      <c r="U44" t="s">
        <v>90</v>
      </c>
      <c r="V44" t="s">
        <v>111</v>
      </c>
      <c r="W44">
        <v>80</v>
      </c>
      <c r="X44">
        <v>1200</v>
      </c>
      <c r="Y44" t="s">
        <v>149</v>
      </c>
      <c r="Z44">
        <v>352</v>
      </c>
    </row>
    <row r="45" spans="1:26" x14ac:dyDescent="0.3">
      <c r="A45" t="s">
        <v>86</v>
      </c>
      <c r="B45">
        <v>20419</v>
      </c>
      <c r="C45">
        <v>445</v>
      </c>
      <c r="D45" s="1">
        <v>46167</v>
      </c>
      <c r="E45" t="s">
        <v>88</v>
      </c>
      <c r="F45">
        <v>5</v>
      </c>
      <c r="G45" t="s">
        <v>288</v>
      </c>
      <c r="H45" t="s">
        <v>210</v>
      </c>
      <c r="I45" t="s">
        <v>210</v>
      </c>
      <c r="J45" t="s">
        <v>204</v>
      </c>
      <c r="K45" t="s">
        <v>100</v>
      </c>
      <c r="L45" t="s">
        <v>101</v>
      </c>
      <c r="M45">
        <v>23</v>
      </c>
      <c r="N45" t="s">
        <v>142</v>
      </c>
      <c r="O45" t="s">
        <v>143</v>
      </c>
      <c r="P45" t="s">
        <v>95</v>
      </c>
      <c r="Q45" t="s">
        <v>208</v>
      </c>
      <c r="R45">
        <v>15</v>
      </c>
      <c r="S45" t="s">
        <v>89</v>
      </c>
      <c r="T45" t="s">
        <v>89</v>
      </c>
      <c r="U45" t="s">
        <v>90</v>
      </c>
      <c r="V45" t="s">
        <v>117</v>
      </c>
      <c r="W45">
        <v>80</v>
      </c>
      <c r="X45">
        <v>1200</v>
      </c>
      <c r="Y45" t="s">
        <v>149</v>
      </c>
      <c r="Z45">
        <v>352</v>
      </c>
    </row>
    <row r="46" spans="1:26" x14ac:dyDescent="0.3">
      <c r="A46" t="s">
        <v>86</v>
      </c>
      <c r="B46">
        <v>20420</v>
      </c>
      <c r="C46">
        <v>445</v>
      </c>
      <c r="D46" s="1">
        <v>46167</v>
      </c>
      <c r="E46" t="s">
        <v>88</v>
      </c>
      <c r="F46">
        <v>5</v>
      </c>
      <c r="G46" t="s">
        <v>288</v>
      </c>
      <c r="H46" t="s">
        <v>211</v>
      </c>
      <c r="I46" t="s">
        <v>211</v>
      </c>
      <c r="J46" t="s">
        <v>204</v>
      </c>
      <c r="K46" t="s">
        <v>100</v>
      </c>
      <c r="L46" t="s">
        <v>101</v>
      </c>
      <c r="M46">
        <v>23</v>
      </c>
      <c r="N46" t="s">
        <v>142</v>
      </c>
      <c r="O46" t="s">
        <v>143</v>
      </c>
      <c r="P46" t="s">
        <v>95</v>
      </c>
      <c r="Q46" t="s">
        <v>208</v>
      </c>
      <c r="R46">
        <v>15</v>
      </c>
      <c r="S46" t="s">
        <v>89</v>
      </c>
      <c r="T46" t="s">
        <v>89</v>
      </c>
      <c r="U46" t="s">
        <v>90</v>
      </c>
      <c r="V46" t="s">
        <v>111</v>
      </c>
      <c r="W46">
        <v>80</v>
      </c>
      <c r="X46">
        <v>1200</v>
      </c>
      <c r="Y46" t="s">
        <v>149</v>
      </c>
      <c r="Z46">
        <v>352</v>
      </c>
    </row>
    <row r="47" spans="1:26" x14ac:dyDescent="0.3">
      <c r="A47" t="s">
        <v>86</v>
      </c>
      <c r="B47">
        <v>20421</v>
      </c>
      <c r="C47">
        <v>445</v>
      </c>
      <c r="D47" s="1">
        <v>46167</v>
      </c>
      <c r="E47" t="s">
        <v>88</v>
      </c>
      <c r="F47">
        <v>5</v>
      </c>
      <c r="G47" t="s">
        <v>288</v>
      </c>
      <c r="H47" t="s">
        <v>212</v>
      </c>
      <c r="I47" t="s">
        <v>212</v>
      </c>
      <c r="J47" t="s">
        <v>204</v>
      </c>
      <c r="K47" t="s">
        <v>100</v>
      </c>
      <c r="L47" t="s">
        <v>101</v>
      </c>
      <c r="M47">
        <v>23</v>
      </c>
      <c r="N47" t="s">
        <v>142</v>
      </c>
      <c r="O47" t="s">
        <v>143</v>
      </c>
      <c r="P47" t="s">
        <v>95</v>
      </c>
      <c r="Q47" t="s">
        <v>208</v>
      </c>
      <c r="R47">
        <v>15</v>
      </c>
      <c r="S47" t="s">
        <v>89</v>
      </c>
      <c r="T47" t="s">
        <v>89</v>
      </c>
      <c r="U47" t="s">
        <v>90</v>
      </c>
      <c r="V47" t="s">
        <v>117</v>
      </c>
      <c r="W47">
        <v>80</v>
      </c>
      <c r="X47">
        <v>1200</v>
      </c>
      <c r="Y47" t="s">
        <v>149</v>
      </c>
      <c r="Z47">
        <v>352</v>
      </c>
    </row>
    <row r="48" spans="1:26" x14ac:dyDescent="0.3">
      <c r="A48" t="s">
        <v>86</v>
      </c>
      <c r="B48">
        <v>20422</v>
      </c>
      <c r="C48">
        <v>445</v>
      </c>
      <c r="D48" s="1">
        <v>46167</v>
      </c>
      <c r="E48" t="s">
        <v>88</v>
      </c>
      <c r="F48">
        <v>5</v>
      </c>
      <c r="G48" t="s">
        <v>288</v>
      </c>
      <c r="H48" t="s">
        <v>213</v>
      </c>
      <c r="I48" t="s">
        <v>213</v>
      </c>
      <c r="J48" t="s">
        <v>204</v>
      </c>
      <c r="K48" t="s">
        <v>100</v>
      </c>
      <c r="L48" t="s">
        <v>101</v>
      </c>
      <c r="M48">
        <v>23</v>
      </c>
      <c r="N48" t="s">
        <v>142</v>
      </c>
      <c r="O48" t="s">
        <v>143</v>
      </c>
      <c r="P48" t="s">
        <v>95</v>
      </c>
      <c r="Q48" t="s">
        <v>208</v>
      </c>
      <c r="R48">
        <v>15</v>
      </c>
      <c r="S48" t="s">
        <v>89</v>
      </c>
      <c r="T48" t="s">
        <v>89</v>
      </c>
      <c r="U48" t="s">
        <v>90</v>
      </c>
      <c r="V48" t="s">
        <v>105</v>
      </c>
      <c r="W48">
        <v>27</v>
      </c>
      <c r="X48">
        <v>405</v>
      </c>
      <c r="Y48" t="s">
        <v>149</v>
      </c>
      <c r="Z48">
        <v>352</v>
      </c>
    </row>
    <row r="49" spans="1:26" x14ac:dyDescent="0.3">
      <c r="A49" t="s">
        <v>86</v>
      </c>
      <c r="B49">
        <v>20423</v>
      </c>
      <c r="C49">
        <v>445</v>
      </c>
      <c r="D49" s="1">
        <v>46167</v>
      </c>
      <c r="E49" t="s">
        <v>88</v>
      </c>
      <c r="F49">
        <v>5</v>
      </c>
      <c r="G49" t="s">
        <v>288</v>
      </c>
      <c r="H49" t="s">
        <v>213</v>
      </c>
      <c r="I49" t="s">
        <v>213</v>
      </c>
      <c r="J49" t="s">
        <v>204</v>
      </c>
      <c r="K49" t="s">
        <v>100</v>
      </c>
      <c r="L49" t="s">
        <v>101</v>
      </c>
      <c r="M49">
        <v>23</v>
      </c>
      <c r="N49" t="s">
        <v>142</v>
      </c>
      <c r="O49" t="s">
        <v>143</v>
      </c>
      <c r="P49" t="s">
        <v>95</v>
      </c>
      <c r="Q49" t="s">
        <v>208</v>
      </c>
      <c r="R49">
        <v>15</v>
      </c>
      <c r="S49" t="s">
        <v>89</v>
      </c>
      <c r="T49" t="s">
        <v>89</v>
      </c>
      <c r="U49" t="s">
        <v>90</v>
      </c>
      <c r="V49" t="s">
        <v>105</v>
      </c>
      <c r="W49">
        <v>53</v>
      </c>
      <c r="X49">
        <v>795</v>
      </c>
      <c r="Y49" t="s">
        <v>149</v>
      </c>
      <c r="Z49">
        <v>352</v>
      </c>
    </row>
    <row r="50" spans="1:26" x14ac:dyDescent="0.3">
      <c r="A50" t="s">
        <v>86</v>
      </c>
      <c r="B50">
        <v>20424</v>
      </c>
      <c r="C50">
        <v>445</v>
      </c>
      <c r="D50" s="1">
        <v>46167</v>
      </c>
      <c r="E50" t="s">
        <v>88</v>
      </c>
      <c r="F50">
        <v>5</v>
      </c>
      <c r="G50" t="s">
        <v>288</v>
      </c>
      <c r="H50" t="s">
        <v>214</v>
      </c>
      <c r="I50" t="s">
        <v>214</v>
      </c>
      <c r="J50" t="s">
        <v>204</v>
      </c>
      <c r="K50" t="s">
        <v>100</v>
      </c>
      <c r="L50" t="s">
        <v>101</v>
      </c>
      <c r="M50">
        <v>23</v>
      </c>
      <c r="N50" t="s">
        <v>142</v>
      </c>
      <c r="O50" t="s">
        <v>143</v>
      </c>
      <c r="P50" t="s">
        <v>95</v>
      </c>
      <c r="Q50" t="s">
        <v>208</v>
      </c>
      <c r="R50">
        <v>15</v>
      </c>
      <c r="S50" t="s">
        <v>89</v>
      </c>
      <c r="T50" t="s">
        <v>89</v>
      </c>
      <c r="U50" t="s">
        <v>90</v>
      </c>
      <c r="V50" t="s">
        <v>107</v>
      </c>
      <c r="W50">
        <v>72</v>
      </c>
      <c r="X50">
        <v>1080</v>
      </c>
      <c r="Y50" t="s">
        <v>149</v>
      </c>
      <c r="Z50">
        <v>352</v>
      </c>
    </row>
    <row r="51" spans="1:26" x14ac:dyDescent="0.3">
      <c r="A51" t="s">
        <v>86</v>
      </c>
      <c r="B51">
        <v>20425</v>
      </c>
      <c r="C51">
        <v>445</v>
      </c>
      <c r="D51" s="1">
        <v>46167</v>
      </c>
      <c r="E51" t="s">
        <v>88</v>
      </c>
      <c r="F51">
        <v>5</v>
      </c>
      <c r="G51" t="s">
        <v>288</v>
      </c>
      <c r="H51" t="s">
        <v>214</v>
      </c>
      <c r="I51" t="s">
        <v>214</v>
      </c>
      <c r="J51" t="s">
        <v>204</v>
      </c>
      <c r="K51" t="s">
        <v>100</v>
      </c>
      <c r="L51" t="s">
        <v>101</v>
      </c>
      <c r="M51">
        <v>23</v>
      </c>
      <c r="N51" t="s">
        <v>142</v>
      </c>
      <c r="O51" t="s">
        <v>143</v>
      </c>
      <c r="P51" t="s">
        <v>95</v>
      </c>
      <c r="Q51" t="s">
        <v>208</v>
      </c>
      <c r="R51">
        <v>15</v>
      </c>
      <c r="S51" t="s">
        <v>89</v>
      </c>
      <c r="T51" t="s">
        <v>89</v>
      </c>
      <c r="U51" t="s">
        <v>90</v>
      </c>
      <c r="V51" t="s">
        <v>107</v>
      </c>
      <c r="W51">
        <v>8</v>
      </c>
      <c r="X51">
        <v>120</v>
      </c>
      <c r="Y51" t="s">
        <v>149</v>
      </c>
      <c r="Z51">
        <v>352</v>
      </c>
    </row>
    <row r="52" spans="1:26" x14ac:dyDescent="0.3">
      <c r="A52" t="s">
        <v>86</v>
      </c>
      <c r="B52">
        <v>20426</v>
      </c>
      <c r="C52">
        <v>445</v>
      </c>
      <c r="D52" s="1">
        <v>46167</v>
      </c>
      <c r="E52" t="s">
        <v>88</v>
      </c>
      <c r="F52">
        <v>5</v>
      </c>
      <c r="G52" t="s">
        <v>288</v>
      </c>
      <c r="H52" t="s">
        <v>215</v>
      </c>
      <c r="I52" t="s">
        <v>215</v>
      </c>
      <c r="J52" t="s">
        <v>204</v>
      </c>
      <c r="K52" t="s">
        <v>100</v>
      </c>
      <c r="L52" t="s">
        <v>101</v>
      </c>
      <c r="M52">
        <v>23</v>
      </c>
      <c r="N52" t="s">
        <v>142</v>
      </c>
      <c r="O52" t="s">
        <v>143</v>
      </c>
      <c r="P52" t="s">
        <v>95</v>
      </c>
      <c r="Q52" t="s">
        <v>208</v>
      </c>
      <c r="R52">
        <v>15</v>
      </c>
      <c r="S52" t="s">
        <v>89</v>
      </c>
      <c r="T52" t="s">
        <v>89</v>
      </c>
      <c r="U52" t="s">
        <v>90</v>
      </c>
      <c r="V52" t="s">
        <v>111</v>
      </c>
      <c r="W52">
        <v>17</v>
      </c>
      <c r="X52">
        <v>255</v>
      </c>
      <c r="Y52" t="s">
        <v>149</v>
      </c>
      <c r="Z52">
        <v>352</v>
      </c>
    </row>
    <row r="53" spans="1:26" x14ac:dyDescent="0.3">
      <c r="A53" t="s">
        <v>86</v>
      </c>
      <c r="B53">
        <v>20427</v>
      </c>
      <c r="C53">
        <v>445</v>
      </c>
      <c r="D53" s="1">
        <v>46167</v>
      </c>
      <c r="E53" t="s">
        <v>88</v>
      </c>
      <c r="F53">
        <v>5</v>
      </c>
      <c r="G53" t="s">
        <v>288</v>
      </c>
      <c r="H53" t="s">
        <v>215</v>
      </c>
      <c r="I53" t="s">
        <v>215</v>
      </c>
      <c r="J53" t="s">
        <v>204</v>
      </c>
      <c r="K53" t="s">
        <v>100</v>
      </c>
      <c r="L53" t="s">
        <v>101</v>
      </c>
      <c r="M53">
        <v>23</v>
      </c>
      <c r="N53" t="s">
        <v>142</v>
      </c>
      <c r="O53" t="s">
        <v>143</v>
      </c>
      <c r="P53" t="s">
        <v>95</v>
      </c>
      <c r="Q53" t="s">
        <v>208</v>
      </c>
      <c r="R53">
        <v>15</v>
      </c>
      <c r="S53" t="s">
        <v>89</v>
      </c>
      <c r="T53" t="s">
        <v>89</v>
      </c>
      <c r="U53" t="s">
        <v>90</v>
      </c>
      <c r="V53" t="s">
        <v>111</v>
      </c>
      <c r="W53">
        <v>63</v>
      </c>
      <c r="X53">
        <v>945</v>
      </c>
      <c r="Y53" t="s">
        <v>149</v>
      </c>
      <c r="Z53">
        <v>352</v>
      </c>
    </row>
    <row r="54" spans="1:26" x14ac:dyDescent="0.3">
      <c r="A54" t="s">
        <v>86</v>
      </c>
      <c r="B54">
        <v>20428</v>
      </c>
      <c r="C54">
        <v>445</v>
      </c>
      <c r="D54" s="1">
        <v>46167</v>
      </c>
      <c r="E54" t="s">
        <v>88</v>
      </c>
      <c r="F54">
        <v>5</v>
      </c>
      <c r="G54" t="s">
        <v>288</v>
      </c>
      <c r="H54" t="s">
        <v>216</v>
      </c>
      <c r="I54" t="s">
        <v>216</v>
      </c>
      <c r="J54" t="s">
        <v>204</v>
      </c>
      <c r="K54" t="s">
        <v>100</v>
      </c>
      <c r="L54" t="s">
        <v>101</v>
      </c>
      <c r="M54">
        <v>23</v>
      </c>
      <c r="N54" t="s">
        <v>142</v>
      </c>
      <c r="O54" t="s">
        <v>143</v>
      </c>
      <c r="P54" t="s">
        <v>95</v>
      </c>
      <c r="Q54" t="s">
        <v>208</v>
      </c>
      <c r="R54">
        <v>15</v>
      </c>
      <c r="S54" t="s">
        <v>89</v>
      </c>
      <c r="T54" t="s">
        <v>89</v>
      </c>
      <c r="U54" t="s">
        <v>90</v>
      </c>
      <c r="V54" t="s">
        <v>117</v>
      </c>
      <c r="W54">
        <v>18</v>
      </c>
      <c r="X54">
        <v>270</v>
      </c>
      <c r="Y54" t="s">
        <v>149</v>
      </c>
      <c r="Z54">
        <v>352</v>
      </c>
    </row>
    <row r="55" spans="1:26" x14ac:dyDescent="0.3">
      <c r="A55" t="s">
        <v>86</v>
      </c>
      <c r="B55">
        <v>20429</v>
      </c>
      <c r="C55">
        <v>445</v>
      </c>
      <c r="D55" s="1">
        <v>46167</v>
      </c>
      <c r="E55" t="s">
        <v>88</v>
      </c>
      <c r="F55">
        <v>5</v>
      </c>
      <c r="G55" t="s">
        <v>288</v>
      </c>
      <c r="H55" t="s">
        <v>216</v>
      </c>
      <c r="I55" t="s">
        <v>216</v>
      </c>
      <c r="J55" t="s">
        <v>204</v>
      </c>
      <c r="K55" t="s">
        <v>100</v>
      </c>
      <c r="L55" t="s">
        <v>101</v>
      </c>
      <c r="M55">
        <v>23</v>
      </c>
      <c r="N55" t="s">
        <v>142</v>
      </c>
      <c r="O55" t="s">
        <v>143</v>
      </c>
      <c r="P55" t="s">
        <v>95</v>
      </c>
      <c r="Q55" t="s">
        <v>208</v>
      </c>
      <c r="R55">
        <v>15</v>
      </c>
      <c r="S55" t="s">
        <v>89</v>
      </c>
      <c r="T55" t="s">
        <v>89</v>
      </c>
      <c r="U55" t="s">
        <v>90</v>
      </c>
      <c r="V55" t="s">
        <v>117</v>
      </c>
      <c r="W55">
        <v>62</v>
      </c>
      <c r="X55">
        <v>930</v>
      </c>
      <c r="Y55" t="s">
        <v>149</v>
      </c>
      <c r="Z55">
        <v>352</v>
      </c>
    </row>
    <row r="56" spans="1:26" x14ac:dyDescent="0.3">
      <c r="A56" t="s">
        <v>86</v>
      </c>
      <c r="B56">
        <v>20430</v>
      </c>
      <c r="C56">
        <v>445</v>
      </c>
      <c r="D56" s="1">
        <v>46167</v>
      </c>
      <c r="E56" t="s">
        <v>88</v>
      </c>
      <c r="F56">
        <v>5</v>
      </c>
      <c r="G56" t="s">
        <v>288</v>
      </c>
      <c r="H56" t="s">
        <v>217</v>
      </c>
      <c r="I56" t="s">
        <v>217</v>
      </c>
      <c r="J56" t="s">
        <v>204</v>
      </c>
      <c r="K56" t="s">
        <v>100</v>
      </c>
      <c r="L56" t="s">
        <v>101</v>
      </c>
      <c r="M56">
        <v>23</v>
      </c>
      <c r="N56" t="s">
        <v>142</v>
      </c>
      <c r="O56" t="s">
        <v>143</v>
      </c>
      <c r="P56" t="s">
        <v>95</v>
      </c>
      <c r="Q56" t="s">
        <v>208</v>
      </c>
      <c r="R56">
        <v>15</v>
      </c>
      <c r="S56" t="s">
        <v>89</v>
      </c>
      <c r="T56" t="s">
        <v>89</v>
      </c>
      <c r="U56" t="s">
        <v>90</v>
      </c>
      <c r="V56" t="s">
        <v>117</v>
      </c>
      <c r="W56">
        <v>80</v>
      </c>
      <c r="X56">
        <v>1200</v>
      </c>
      <c r="Y56" t="s">
        <v>149</v>
      </c>
      <c r="Z56">
        <v>352</v>
      </c>
    </row>
    <row r="57" spans="1:26" x14ac:dyDescent="0.3">
      <c r="A57" t="s">
        <v>86</v>
      </c>
      <c r="B57">
        <v>20431</v>
      </c>
      <c r="C57">
        <v>445</v>
      </c>
      <c r="D57" s="1">
        <v>46167</v>
      </c>
      <c r="E57" t="s">
        <v>88</v>
      </c>
      <c r="F57">
        <v>5</v>
      </c>
      <c r="G57" t="s">
        <v>288</v>
      </c>
      <c r="H57" t="s">
        <v>218</v>
      </c>
      <c r="I57" t="s">
        <v>218</v>
      </c>
      <c r="J57" t="s">
        <v>204</v>
      </c>
      <c r="K57" t="s">
        <v>100</v>
      </c>
      <c r="L57" t="s">
        <v>101</v>
      </c>
      <c r="M57">
        <v>23</v>
      </c>
      <c r="N57" t="s">
        <v>142</v>
      </c>
      <c r="O57" t="s">
        <v>143</v>
      </c>
      <c r="P57" t="s">
        <v>95</v>
      </c>
      <c r="Q57" t="s">
        <v>208</v>
      </c>
      <c r="R57">
        <v>15</v>
      </c>
      <c r="S57" t="s">
        <v>89</v>
      </c>
      <c r="T57" t="s">
        <v>89</v>
      </c>
      <c r="U57" t="s">
        <v>90</v>
      </c>
      <c r="V57" t="s">
        <v>111</v>
      </c>
      <c r="W57">
        <v>80</v>
      </c>
      <c r="X57">
        <v>1200</v>
      </c>
      <c r="Y57" t="s">
        <v>149</v>
      </c>
      <c r="Z57">
        <v>352</v>
      </c>
    </row>
    <row r="58" spans="1:26" x14ac:dyDescent="0.3">
      <c r="A58" t="s">
        <v>86</v>
      </c>
      <c r="B58">
        <v>20432</v>
      </c>
      <c r="C58">
        <v>445</v>
      </c>
      <c r="D58" s="1">
        <v>46167</v>
      </c>
      <c r="E58" t="s">
        <v>88</v>
      </c>
      <c r="F58">
        <v>5</v>
      </c>
      <c r="G58" t="s">
        <v>288</v>
      </c>
      <c r="H58" t="s">
        <v>219</v>
      </c>
      <c r="I58" t="s">
        <v>219</v>
      </c>
      <c r="J58" t="s">
        <v>204</v>
      </c>
      <c r="K58" t="s">
        <v>100</v>
      </c>
      <c r="L58" t="s">
        <v>101</v>
      </c>
      <c r="M58">
        <v>23</v>
      </c>
      <c r="N58" t="s">
        <v>142</v>
      </c>
      <c r="O58" t="s">
        <v>143</v>
      </c>
      <c r="P58" t="s">
        <v>95</v>
      </c>
      <c r="Q58" t="s">
        <v>208</v>
      </c>
      <c r="R58">
        <v>15</v>
      </c>
      <c r="S58" t="s">
        <v>89</v>
      </c>
      <c r="T58" t="s">
        <v>89</v>
      </c>
      <c r="U58" t="s">
        <v>90</v>
      </c>
      <c r="V58" t="s">
        <v>107</v>
      </c>
      <c r="W58">
        <v>80</v>
      </c>
      <c r="X58">
        <v>1200</v>
      </c>
      <c r="Y58" t="s">
        <v>149</v>
      </c>
      <c r="Z58">
        <v>352</v>
      </c>
    </row>
    <row r="59" spans="1:26" x14ac:dyDescent="0.3">
      <c r="A59" t="s">
        <v>86</v>
      </c>
      <c r="B59">
        <v>20433</v>
      </c>
      <c r="C59">
        <v>445</v>
      </c>
      <c r="D59" s="1">
        <v>46167</v>
      </c>
      <c r="E59" t="s">
        <v>88</v>
      </c>
      <c r="F59">
        <v>5</v>
      </c>
      <c r="G59" t="s">
        <v>288</v>
      </c>
      <c r="H59" t="s">
        <v>220</v>
      </c>
      <c r="I59" t="s">
        <v>220</v>
      </c>
      <c r="J59" t="s">
        <v>204</v>
      </c>
      <c r="K59" t="s">
        <v>100</v>
      </c>
      <c r="L59" t="s">
        <v>101</v>
      </c>
      <c r="M59">
        <v>23</v>
      </c>
      <c r="N59" t="s">
        <v>142</v>
      </c>
      <c r="O59" t="s">
        <v>143</v>
      </c>
      <c r="P59" t="s">
        <v>95</v>
      </c>
      <c r="Q59" t="s">
        <v>208</v>
      </c>
      <c r="R59">
        <v>15</v>
      </c>
      <c r="S59" t="s">
        <v>89</v>
      </c>
      <c r="T59" t="s">
        <v>89</v>
      </c>
      <c r="U59" t="s">
        <v>90</v>
      </c>
      <c r="V59" t="s">
        <v>111</v>
      </c>
      <c r="W59">
        <v>80</v>
      </c>
      <c r="X59">
        <v>1200</v>
      </c>
      <c r="Y59" t="s">
        <v>149</v>
      </c>
      <c r="Z59">
        <v>352</v>
      </c>
    </row>
    <row r="60" spans="1:26" x14ac:dyDescent="0.3">
      <c r="A60" t="s">
        <v>86</v>
      </c>
      <c r="B60">
        <v>20434</v>
      </c>
      <c r="C60">
        <v>445</v>
      </c>
      <c r="D60" s="1">
        <v>46167</v>
      </c>
      <c r="E60" t="s">
        <v>88</v>
      </c>
      <c r="F60">
        <v>5</v>
      </c>
      <c r="G60" t="s">
        <v>288</v>
      </c>
      <c r="H60" t="s">
        <v>221</v>
      </c>
      <c r="I60" t="s">
        <v>221</v>
      </c>
      <c r="J60" t="s">
        <v>204</v>
      </c>
      <c r="K60" t="s">
        <v>100</v>
      </c>
      <c r="L60" t="s">
        <v>101</v>
      </c>
      <c r="M60">
        <v>23</v>
      </c>
      <c r="N60" t="s">
        <v>142</v>
      </c>
      <c r="O60" t="s">
        <v>143</v>
      </c>
      <c r="P60" t="s">
        <v>95</v>
      </c>
      <c r="Q60" t="s">
        <v>208</v>
      </c>
      <c r="R60">
        <v>15</v>
      </c>
      <c r="S60" t="s">
        <v>89</v>
      </c>
      <c r="T60" t="s">
        <v>89</v>
      </c>
      <c r="U60" t="s">
        <v>90</v>
      </c>
      <c r="V60" t="s">
        <v>107</v>
      </c>
      <c r="W60">
        <v>80</v>
      </c>
      <c r="X60">
        <v>1200</v>
      </c>
      <c r="Y60" t="s">
        <v>149</v>
      </c>
      <c r="Z60">
        <v>352</v>
      </c>
    </row>
    <row r="61" spans="1:26" x14ac:dyDescent="0.3">
      <c r="A61" t="s">
        <v>86</v>
      </c>
      <c r="B61">
        <v>20435</v>
      </c>
      <c r="C61">
        <v>445</v>
      </c>
      <c r="D61" s="1">
        <v>46167</v>
      </c>
      <c r="E61" t="s">
        <v>88</v>
      </c>
      <c r="F61">
        <v>5</v>
      </c>
      <c r="G61" t="s">
        <v>288</v>
      </c>
      <c r="H61" t="s">
        <v>222</v>
      </c>
      <c r="I61" t="s">
        <v>222</v>
      </c>
      <c r="J61" t="s">
        <v>204</v>
      </c>
      <c r="K61" t="s">
        <v>100</v>
      </c>
      <c r="L61" t="s">
        <v>101</v>
      </c>
      <c r="M61">
        <v>23</v>
      </c>
      <c r="N61" t="s">
        <v>142</v>
      </c>
      <c r="O61" t="s">
        <v>143</v>
      </c>
      <c r="P61" t="s">
        <v>95</v>
      </c>
      <c r="Q61" t="s">
        <v>208</v>
      </c>
      <c r="R61">
        <v>15</v>
      </c>
      <c r="S61" t="s">
        <v>89</v>
      </c>
      <c r="T61" t="s">
        <v>89</v>
      </c>
      <c r="U61" t="s">
        <v>90</v>
      </c>
      <c r="V61" t="s">
        <v>111</v>
      </c>
      <c r="W61">
        <v>80</v>
      </c>
      <c r="X61">
        <v>1200</v>
      </c>
      <c r="Y61" t="s">
        <v>149</v>
      </c>
      <c r="Z61">
        <v>352</v>
      </c>
    </row>
    <row r="62" spans="1:26" x14ac:dyDescent="0.3">
      <c r="A62" t="s">
        <v>86</v>
      </c>
      <c r="B62">
        <v>20436</v>
      </c>
      <c r="C62">
        <v>445</v>
      </c>
      <c r="D62" s="1">
        <v>46167</v>
      </c>
      <c r="E62" t="s">
        <v>88</v>
      </c>
      <c r="F62">
        <v>5</v>
      </c>
      <c r="G62" t="s">
        <v>288</v>
      </c>
      <c r="H62" t="s">
        <v>223</v>
      </c>
      <c r="I62" t="s">
        <v>223</v>
      </c>
      <c r="J62" t="s">
        <v>204</v>
      </c>
      <c r="K62" t="s">
        <v>100</v>
      </c>
      <c r="L62" t="s">
        <v>101</v>
      </c>
      <c r="M62">
        <v>23</v>
      </c>
      <c r="N62" t="s">
        <v>142</v>
      </c>
      <c r="O62" t="s">
        <v>143</v>
      </c>
      <c r="P62" t="s">
        <v>95</v>
      </c>
      <c r="Q62" t="s">
        <v>208</v>
      </c>
      <c r="R62">
        <v>15</v>
      </c>
      <c r="S62" t="s">
        <v>89</v>
      </c>
      <c r="T62" t="s">
        <v>89</v>
      </c>
      <c r="U62" t="s">
        <v>90</v>
      </c>
      <c r="V62" t="s">
        <v>117</v>
      </c>
      <c r="W62">
        <v>80</v>
      </c>
      <c r="X62">
        <v>1200</v>
      </c>
      <c r="Y62" t="s">
        <v>149</v>
      </c>
      <c r="Z62">
        <v>352</v>
      </c>
    </row>
    <row r="63" spans="1:26" x14ac:dyDescent="0.3">
      <c r="A63" t="s">
        <v>86</v>
      </c>
      <c r="B63">
        <v>20437</v>
      </c>
      <c r="C63">
        <v>445</v>
      </c>
      <c r="D63" s="1">
        <v>46167</v>
      </c>
      <c r="E63" t="s">
        <v>88</v>
      </c>
      <c r="F63">
        <v>5</v>
      </c>
      <c r="G63" t="s">
        <v>288</v>
      </c>
      <c r="H63" t="s">
        <v>224</v>
      </c>
      <c r="I63" t="s">
        <v>224</v>
      </c>
      <c r="J63" t="s">
        <v>204</v>
      </c>
      <c r="K63" t="s">
        <v>100</v>
      </c>
      <c r="L63" t="s">
        <v>101</v>
      </c>
      <c r="M63">
        <v>23</v>
      </c>
      <c r="N63" t="s">
        <v>142</v>
      </c>
      <c r="O63" t="s">
        <v>143</v>
      </c>
      <c r="P63" t="s">
        <v>95</v>
      </c>
      <c r="Q63" t="s">
        <v>208</v>
      </c>
      <c r="R63">
        <v>15</v>
      </c>
      <c r="S63" t="s">
        <v>89</v>
      </c>
      <c r="T63" t="s">
        <v>89</v>
      </c>
      <c r="U63" t="s">
        <v>90</v>
      </c>
      <c r="V63" t="s">
        <v>117</v>
      </c>
      <c r="W63">
        <v>80</v>
      </c>
      <c r="X63">
        <v>1200</v>
      </c>
      <c r="Y63" t="s">
        <v>149</v>
      </c>
      <c r="Z63">
        <v>352</v>
      </c>
    </row>
    <row r="64" spans="1:26" x14ac:dyDescent="0.3">
      <c r="A64" t="s">
        <v>86</v>
      </c>
      <c r="B64">
        <v>20438</v>
      </c>
      <c r="C64">
        <v>445</v>
      </c>
      <c r="D64" s="1">
        <v>46167</v>
      </c>
      <c r="E64" t="s">
        <v>88</v>
      </c>
      <c r="F64">
        <v>5</v>
      </c>
      <c r="G64" t="s">
        <v>288</v>
      </c>
      <c r="H64" t="s">
        <v>225</v>
      </c>
      <c r="I64" t="s">
        <v>225</v>
      </c>
      <c r="J64" t="s">
        <v>204</v>
      </c>
      <c r="K64" t="s">
        <v>100</v>
      </c>
      <c r="L64" t="s">
        <v>101</v>
      </c>
      <c r="M64">
        <v>23</v>
      </c>
      <c r="N64" t="s">
        <v>142</v>
      </c>
      <c r="O64" t="s">
        <v>143</v>
      </c>
      <c r="P64" t="s">
        <v>95</v>
      </c>
      <c r="Q64" t="s">
        <v>208</v>
      </c>
      <c r="R64">
        <v>15</v>
      </c>
      <c r="S64" t="s">
        <v>89</v>
      </c>
      <c r="T64" t="s">
        <v>89</v>
      </c>
      <c r="U64" t="s">
        <v>90</v>
      </c>
      <c r="V64" t="s">
        <v>105</v>
      </c>
      <c r="W64">
        <v>80</v>
      </c>
      <c r="X64">
        <v>1200</v>
      </c>
      <c r="Y64" t="s">
        <v>149</v>
      </c>
      <c r="Z64">
        <v>352</v>
      </c>
    </row>
    <row r="65" spans="1:26" x14ac:dyDescent="0.3">
      <c r="A65" t="s">
        <v>86</v>
      </c>
      <c r="B65">
        <v>20439</v>
      </c>
      <c r="C65">
        <v>445</v>
      </c>
      <c r="D65" s="1">
        <v>46167</v>
      </c>
      <c r="E65" t="s">
        <v>88</v>
      </c>
      <c r="F65">
        <v>5</v>
      </c>
      <c r="G65" t="s">
        <v>288</v>
      </c>
      <c r="H65" t="s">
        <v>226</v>
      </c>
      <c r="I65" t="s">
        <v>226</v>
      </c>
      <c r="J65" t="s">
        <v>204</v>
      </c>
      <c r="K65" t="s">
        <v>100</v>
      </c>
      <c r="L65" t="s">
        <v>101</v>
      </c>
      <c r="M65">
        <v>23</v>
      </c>
      <c r="N65" t="s">
        <v>142</v>
      </c>
      <c r="O65" t="s">
        <v>143</v>
      </c>
      <c r="P65" t="s">
        <v>95</v>
      </c>
      <c r="Q65" t="s">
        <v>208</v>
      </c>
      <c r="R65">
        <v>15</v>
      </c>
      <c r="S65" t="s">
        <v>89</v>
      </c>
      <c r="T65" t="s">
        <v>89</v>
      </c>
      <c r="U65" t="s">
        <v>90</v>
      </c>
      <c r="V65" t="s">
        <v>107</v>
      </c>
      <c r="W65">
        <v>80</v>
      </c>
      <c r="X65">
        <v>1200</v>
      </c>
      <c r="Y65" t="s">
        <v>149</v>
      </c>
      <c r="Z65">
        <v>352</v>
      </c>
    </row>
    <row r="66" spans="1:26" x14ac:dyDescent="0.3">
      <c r="A66" t="s">
        <v>86</v>
      </c>
      <c r="B66">
        <v>20440</v>
      </c>
      <c r="C66">
        <v>445</v>
      </c>
      <c r="D66" s="1">
        <v>46167</v>
      </c>
      <c r="E66" t="s">
        <v>88</v>
      </c>
      <c r="F66">
        <v>5</v>
      </c>
      <c r="G66" t="s">
        <v>288</v>
      </c>
      <c r="H66" t="s">
        <v>227</v>
      </c>
      <c r="I66" t="s">
        <v>227</v>
      </c>
      <c r="J66" t="s">
        <v>204</v>
      </c>
      <c r="K66" t="s">
        <v>100</v>
      </c>
      <c r="L66" t="s">
        <v>101</v>
      </c>
      <c r="M66">
        <v>23</v>
      </c>
      <c r="N66" t="s">
        <v>142</v>
      </c>
      <c r="O66" t="s">
        <v>143</v>
      </c>
      <c r="P66" t="s">
        <v>95</v>
      </c>
      <c r="Q66" t="s">
        <v>208</v>
      </c>
      <c r="R66">
        <v>15</v>
      </c>
      <c r="S66" t="s">
        <v>89</v>
      </c>
      <c r="T66" t="s">
        <v>89</v>
      </c>
      <c r="U66" t="s">
        <v>90</v>
      </c>
      <c r="V66" t="s">
        <v>107</v>
      </c>
      <c r="W66">
        <v>80</v>
      </c>
      <c r="X66">
        <v>1200</v>
      </c>
      <c r="Y66" t="s">
        <v>149</v>
      </c>
      <c r="Z66">
        <v>352</v>
      </c>
    </row>
    <row r="67" spans="1:26" x14ac:dyDescent="0.3">
      <c r="A67" t="s">
        <v>86</v>
      </c>
      <c r="B67">
        <v>20441</v>
      </c>
      <c r="C67">
        <v>445</v>
      </c>
      <c r="D67" s="1">
        <v>46167</v>
      </c>
      <c r="E67" t="s">
        <v>88</v>
      </c>
      <c r="F67">
        <v>5</v>
      </c>
      <c r="G67" t="s">
        <v>288</v>
      </c>
      <c r="H67" t="s">
        <v>228</v>
      </c>
      <c r="I67" t="s">
        <v>228</v>
      </c>
      <c r="J67" t="s">
        <v>204</v>
      </c>
      <c r="K67" t="s">
        <v>100</v>
      </c>
      <c r="L67" t="s">
        <v>101</v>
      </c>
      <c r="M67">
        <v>23</v>
      </c>
      <c r="N67" t="s">
        <v>142</v>
      </c>
      <c r="O67" t="s">
        <v>143</v>
      </c>
      <c r="P67" t="s">
        <v>95</v>
      </c>
      <c r="Q67" t="s">
        <v>208</v>
      </c>
      <c r="R67">
        <v>15</v>
      </c>
      <c r="S67" t="s">
        <v>89</v>
      </c>
      <c r="T67" t="s">
        <v>89</v>
      </c>
      <c r="U67" t="s">
        <v>90</v>
      </c>
      <c r="V67" t="s">
        <v>107</v>
      </c>
      <c r="W67">
        <v>80</v>
      </c>
      <c r="X67">
        <v>1200</v>
      </c>
      <c r="Y67" t="s">
        <v>149</v>
      </c>
      <c r="Z67">
        <v>352</v>
      </c>
    </row>
    <row r="68" spans="1:26" x14ac:dyDescent="0.3">
      <c r="A68" t="s">
        <v>86</v>
      </c>
      <c r="B68">
        <v>20514</v>
      </c>
      <c r="C68">
        <v>448</v>
      </c>
      <c r="D68" s="1">
        <v>46169</v>
      </c>
      <c r="E68" t="s">
        <v>88</v>
      </c>
      <c r="F68">
        <v>5</v>
      </c>
      <c r="G68" t="s">
        <v>288</v>
      </c>
      <c r="H68" t="s">
        <v>233</v>
      </c>
      <c r="I68" t="s">
        <v>233</v>
      </c>
      <c r="J68" t="s">
        <v>234</v>
      </c>
      <c r="K68" t="s">
        <v>100</v>
      </c>
      <c r="L68" t="s">
        <v>101</v>
      </c>
      <c r="M68">
        <v>23</v>
      </c>
      <c r="N68" t="s">
        <v>142</v>
      </c>
      <c r="O68" t="s">
        <v>143</v>
      </c>
      <c r="P68" t="s">
        <v>95</v>
      </c>
      <c r="Q68" t="s">
        <v>103</v>
      </c>
      <c r="R68">
        <v>15</v>
      </c>
      <c r="S68" t="s">
        <v>89</v>
      </c>
      <c r="T68" t="s">
        <v>89</v>
      </c>
      <c r="U68" t="s">
        <v>90</v>
      </c>
      <c r="V68" t="s">
        <v>118</v>
      </c>
      <c r="W68">
        <v>80</v>
      </c>
      <c r="X68">
        <v>1200</v>
      </c>
      <c r="Y68" t="s">
        <v>149</v>
      </c>
      <c r="Z68">
        <v>352</v>
      </c>
    </row>
    <row r="69" spans="1:26" x14ac:dyDescent="0.3">
      <c r="A69" t="s">
        <v>86</v>
      </c>
      <c r="B69">
        <v>20515</v>
      </c>
      <c r="C69">
        <v>448</v>
      </c>
      <c r="D69" s="1">
        <v>46169</v>
      </c>
      <c r="E69" t="s">
        <v>88</v>
      </c>
      <c r="F69">
        <v>5</v>
      </c>
      <c r="G69" t="s">
        <v>288</v>
      </c>
      <c r="H69" t="s">
        <v>239</v>
      </c>
      <c r="I69" t="s">
        <v>239</v>
      </c>
      <c r="J69" t="s">
        <v>234</v>
      </c>
      <c r="K69" t="s">
        <v>100</v>
      </c>
      <c r="L69" t="s">
        <v>101</v>
      </c>
      <c r="M69">
        <v>23</v>
      </c>
      <c r="N69" t="s">
        <v>142</v>
      </c>
      <c r="O69" t="s">
        <v>143</v>
      </c>
      <c r="P69" t="s">
        <v>95</v>
      </c>
      <c r="Q69" t="s">
        <v>103</v>
      </c>
      <c r="R69">
        <v>15</v>
      </c>
      <c r="S69" t="s">
        <v>89</v>
      </c>
      <c r="T69" t="s">
        <v>89</v>
      </c>
      <c r="U69" t="s">
        <v>90</v>
      </c>
      <c r="V69" t="s">
        <v>117</v>
      </c>
      <c r="W69">
        <v>80</v>
      </c>
      <c r="X69">
        <v>1200</v>
      </c>
      <c r="Y69" t="s">
        <v>149</v>
      </c>
      <c r="Z69">
        <v>352</v>
      </c>
    </row>
    <row r="70" spans="1:26" x14ac:dyDescent="0.3">
      <c r="A70" t="s">
        <v>86</v>
      </c>
      <c r="B70">
        <v>20516</v>
      </c>
      <c r="C70">
        <v>448</v>
      </c>
      <c r="D70" s="1">
        <v>46169</v>
      </c>
      <c r="E70" t="s">
        <v>88</v>
      </c>
      <c r="F70">
        <v>5</v>
      </c>
      <c r="G70" t="s">
        <v>288</v>
      </c>
      <c r="H70" t="s">
        <v>240</v>
      </c>
      <c r="I70" t="s">
        <v>240</v>
      </c>
      <c r="J70" t="s">
        <v>234</v>
      </c>
      <c r="K70" t="s">
        <v>100</v>
      </c>
      <c r="L70" t="s">
        <v>101</v>
      </c>
      <c r="M70">
        <v>23</v>
      </c>
      <c r="N70" t="s">
        <v>142</v>
      </c>
      <c r="O70" t="s">
        <v>143</v>
      </c>
      <c r="P70" t="s">
        <v>95</v>
      </c>
      <c r="Q70" t="s">
        <v>103</v>
      </c>
      <c r="R70">
        <v>15</v>
      </c>
      <c r="S70" t="s">
        <v>89</v>
      </c>
      <c r="T70" t="s">
        <v>89</v>
      </c>
      <c r="U70" t="s">
        <v>90</v>
      </c>
      <c r="V70" t="s">
        <v>117</v>
      </c>
      <c r="W70">
        <v>80</v>
      </c>
      <c r="X70">
        <v>1200</v>
      </c>
      <c r="Y70" t="s">
        <v>149</v>
      </c>
      <c r="Z70">
        <v>352</v>
      </c>
    </row>
    <row r="71" spans="1:26" x14ac:dyDescent="0.3">
      <c r="A71" t="s">
        <v>86</v>
      </c>
      <c r="B71">
        <v>20517</v>
      </c>
      <c r="C71">
        <v>448</v>
      </c>
      <c r="D71" s="1">
        <v>46169</v>
      </c>
      <c r="E71" t="s">
        <v>88</v>
      </c>
      <c r="F71">
        <v>5</v>
      </c>
      <c r="G71" t="s">
        <v>288</v>
      </c>
      <c r="H71" t="s">
        <v>241</v>
      </c>
      <c r="I71" t="s">
        <v>241</v>
      </c>
      <c r="J71" t="s">
        <v>234</v>
      </c>
      <c r="K71" t="s">
        <v>100</v>
      </c>
      <c r="L71" t="s">
        <v>101</v>
      </c>
      <c r="M71">
        <v>23</v>
      </c>
      <c r="N71" t="s">
        <v>142</v>
      </c>
      <c r="O71" t="s">
        <v>143</v>
      </c>
      <c r="P71" t="s">
        <v>95</v>
      </c>
      <c r="Q71" t="s">
        <v>103</v>
      </c>
      <c r="R71">
        <v>15</v>
      </c>
      <c r="S71" t="s">
        <v>89</v>
      </c>
      <c r="T71" t="s">
        <v>89</v>
      </c>
      <c r="U71" t="s">
        <v>90</v>
      </c>
      <c r="V71" t="s">
        <v>117</v>
      </c>
      <c r="W71">
        <v>80</v>
      </c>
      <c r="X71">
        <v>1200</v>
      </c>
      <c r="Y71" t="s">
        <v>149</v>
      </c>
      <c r="Z71">
        <v>352</v>
      </c>
    </row>
    <row r="72" spans="1:26" x14ac:dyDescent="0.3">
      <c r="A72" t="s">
        <v>86</v>
      </c>
      <c r="B72">
        <v>20518</v>
      </c>
      <c r="C72">
        <v>448</v>
      </c>
      <c r="D72" s="1">
        <v>46169</v>
      </c>
      <c r="E72" t="s">
        <v>88</v>
      </c>
      <c r="F72">
        <v>5</v>
      </c>
      <c r="G72" t="s">
        <v>288</v>
      </c>
      <c r="H72" t="s">
        <v>242</v>
      </c>
      <c r="I72" t="s">
        <v>242</v>
      </c>
      <c r="J72" t="s">
        <v>234</v>
      </c>
      <c r="K72" t="s">
        <v>100</v>
      </c>
      <c r="L72" t="s">
        <v>101</v>
      </c>
      <c r="M72">
        <v>23</v>
      </c>
      <c r="N72" t="s">
        <v>142</v>
      </c>
      <c r="O72" t="s">
        <v>143</v>
      </c>
      <c r="P72" t="s">
        <v>95</v>
      </c>
      <c r="Q72" t="s">
        <v>103</v>
      </c>
      <c r="R72">
        <v>15</v>
      </c>
      <c r="S72" t="s">
        <v>89</v>
      </c>
      <c r="T72" t="s">
        <v>89</v>
      </c>
      <c r="U72" t="s">
        <v>90</v>
      </c>
      <c r="V72" t="s">
        <v>119</v>
      </c>
      <c r="W72">
        <v>17</v>
      </c>
      <c r="X72">
        <v>255</v>
      </c>
      <c r="Y72" t="s">
        <v>149</v>
      </c>
      <c r="Z72">
        <v>352</v>
      </c>
    </row>
    <row r="73" spans="1:26" x14ac:dyDescent="0.3">
      <c r="A73" t="s">
        <v>86</v>
      </c>
      <c r="B73">
        <v>20519</v>
      </c>
      <c r="C73">
        <v>448</v>
      </c>
      <c r="D73" s="1">
        <v>46169</v>
      </c>
      <c r="E73" t="s">
        <v>88</v>
      </c>
      <c r="F73">
        <v>5</v>
      </c>
      <c r="G73" t="s">
        <v>288</v>
      </c>
      <c r="H73" t="s">
        <v>242</v>
      </c>
      <c r="I73" t="s">
        <v>242</v>
      </c>
      <c r="J73" t="s">
        <v>234</v>
      </c>
      <c r="K73" t="s">
        <v>100</v>
      </c>
      <c r="L73" t="s">
        <v>101</v>
      </c>
      <c r="M73">
        <v>23</v>
      </c>
      <c r="N73" t="s">
        <v>142</v>
      </c>
      <c r="O73" t="s">
        <v>143</v>
      </c>
      <c r="P73" t="s">
        <v>95</v>
      </c>
      <c r="Q73" t="s">
        <v>103</v>
      </c>
      <c r="R73">
        <v>15</v>
      </c>
      <c r="S73" t="s">
        <v>89</v>
      </c>
      <c r="T73" t="s">
        <v>89</v>
      </c>
      <c r="U73" t="s">
        <v>90</v>
      </c>
      <c r="V73" t="s">
        <v>119</v>
      </c>
      <c r="W73">
        <v>63</v>
      </c>
      <c r="X73">
        <v>945</v>
      </c>
      <c r="Y73" t="s">
        <v>149</v>
      </c>
      <c r="Z73">
        <v>352</v>
      </c>
    </row>
    <row r="74" spans="1:26" x14ac:dyDescent="0.3">
      <c r="A74" t="s">
        <v>86</v>
      </c>
      <c r="B74">
        <v>20520</v>
      </c>
      <c r="C74">
        <v>448</v>
      </c>
      <c r="D74" s="1">
        <v>46169</v>
      </c>
      <c r="E74" t="s">
        <v>88</v>
      </c>
      <c r="F74">
        <v>5</v>
      </c>
      <c r="G74" t="s">
        <v>288</v>
      </c>
      <c r="H74" t="s">
        <v>243</v>
      </c>
      <c r="I74" t="s">
        <v>243</v>
      </c>
      <c r="J74" t="s">
        <v>234</v>
      </c>
      <c r="K74" t="s">
        <v>100</v>
      </c>
      <c r="L74" t="s">
        <v>101</v>
      </c>
      <c r="M74">
        <v>23</v>
      </c>
      <c r="N74" t="s">
        <v>142</v>
      </c>
      <c r="O74" t="s">
        <v>143</v>
      </c>
      <c r="P74" t="s">
        <v>95</v>
      </c>
      <c r="Q74" t="s">
        <v>103</v>
      </c>
      <c r="R74">
        <v>15</v>
      </c>
      <c r="S74" t="s">
        <v>89</v>
      </c>
      <c r="T74" t="s">
        <v>89</v>
      </c>
      <c r="U74" t="s">
        <v>90</v>
      </c>
      <c r="V74" t="s">
        <v>111</v>
      </c>
      <c r="W74">
        <v>80</v>
      </c>
      <c r="X74">
        <v>1200</v>
      </c>
      <c r="Y74" t="s">
        <v>149</v>
      </c>
      <c r="Z74">
        <v>352</v>
      </c>
    </row>
    <row r="75" spans="1:26" x14ac:dyDescent="0.3">
      <c r="A75" t="s">
        <v>86</v>
      </c>
      <c r="B75">
        <v>20521</v>
      </c>
      <c r="C75">
        <v>448</v>
      </c>
      <c r="D75" s="1">
        <v>46169</v>
      </c>
      <c r="E75" t="s">
        <v>88</v>
      </c>
      <c r="F75">
        <v>5</v>
      </c>
      <c r="G75" t="s">
        <v>288</v>
      </c>
      <c r="H75" t="s">
        <v>244</v>
      </c>
      <c r="I75" t="s">
        <v>244</v>
      </c>
      <c r="J75" t="s">
        <v>234</v>
      </c>
      <c r="K75" t="s">
        <v>100</v>
      </c>
      <c r="L75" t="s">
        <v>101</v>
      </c>
      <c r="M75">
        <v>23</v>
      </c>
      <c r="N75" t="s">
        <v>142</v>
      </c>
      <c r="O75" t="s">
        <v>143</v>
      </c>
      <c r="P75" t="s">
        <v>95</v>
      </c>
      <c r="Q75" t="s">
        <v>103</v>
      </c>
      <c r="R75">
        <v>15</v>
      </c>
      <c r="S75" t="s">
        <v>89</v>
      </c>
      <c r="T75" t="s">
        <v>89</v>
      </c>
      <c r="U75" t="s">
        <v>90</v>
      </c>
      <c r="V75" t="s">
        <v>117</v>
      </c>
      <c r="W75">
        <v>80</v>
      </c>
      <c r="X75">
        <v>1200</v>
      </c>
      <c r="Y75" t="s">
        <v>149</v>
      </c>
      <c r="Z75">
        <v>352</v>
      </c>
    </row>
    <row r="76" spans="1:26" x14ac:dyDescent="0.3">
      <c r="A76" t="s">
        <v>86</v>
      </c>
      <c r="B76">
        <v>20522</v>
      </c>
      <c r="C76">
        <v>448</v>
      </c>
      <c r="D76" s="1">
        <v>46169</v>
      </c>
      <c r="E76" t="s">
        <v>88</v>
      </c>
      <c r="F76">
        <v>5</v>
      </c>
      <c r="G76" t="s">
        <v>288</v>
      </c>
      <c r="H76" t="s">
        <v>245</v>
      </c>
      <c r="I76" t="s">
        <v>245</v>
      </c>
      <c r="J76" t="s">
        <v>234</v>
      </c>
      <c r="K76" t="s">
        <v>100</v>
      </c>
      <c r="L76" t="s">
        <v>101</v>
      </c>
      <c r="M76">
        <v>23</v>
      </c>
      <c r="N76" t="s">
        <v>142</v>
      </c>
      <c r="O76" t="s">
        <v>143</v>
      </c>
      <c r="P76" t="s">
        <v>95</v>
      </c>
      <c r="Q76" t="s">
        <v>103</v>
      </c>
      <c r="R76">
        <v>15</v>
      </c>
      <c r="S76" t="s">
        <v>89</v>
      </c>
      <c r="T76" t="s">
        <v>89</v>
      </c>
      <c r="U76" t="s">
        <v>90</v>
      </c>
      <c r="V76" t="s">
        <v>118</v>
      </c>
      <c r="W76">
        <v>73</v>
      </c>
      <c r="X76">
        <v>1095</v>
      </c>
      <c r="Y76" t="s">
        <v>149</v>
      </c>
      <c r="Z76">
        <v>352</v>
      </c>
    </row>
    <row r="77" spans="1:26" x14ac:dyDescent="0.3">
      <c r="A77" t="s">
        <v>86</v>
      </c>
      <c r="B77">
        <v>20523</v>
      </c>
      <c r="C77">
        <v>448</v>
      </c>
      <c r="D77" s="1">
        <v>46169</v>
      </c>
      <c r="E77" t="s">
        <v>88</v>
      </c>
      <c r="F77">
        <v>5</v>
      </c>
      <c r="G77" t="s">
        <v>288</v>
      </c>
      <c r="H77" t="s">
        <v>245</v>
      </c>
      <c r="I77" t="s">
        <v>245</v>
      </c>
      <c r="J77" t="s">
        <v>234</v>
      </c>
      <c r="K77" t="s">
        <v>100</v>
      </c>
      <c r="L77" t="s">
        <v>101</v>
      </c>
      <c r="M77">
        <v>23</v>
      </c>
      <c r="N77" t="s">
        <v>142</v>
      </c>
      <c r="O77" t="s">
        <v>143</v>
      </c>
      <c r="P77" t="s">
        <v>95</v>
      </c>
      <c r="Q77" t="s">
        <v>103</v>
      </c>
      <c r="R77">
        <v>15</v>
      </c>
      <c r="S77" t="s">
        <v>89</v>
      </c>
      <c r="T77" t="s">
        <v>89</v>
      </c>
      <c r="U77" t="s">
        <v>90</v>
      </c>
      <c r="V77" t="s">
        <v>118</v>
      </c>
      <c r="W77">
        <v>7</v>
      </c>
      <c r="X77">
        <v>105</v>
      </c>
      <c r="Y77" t="s">
        <v>149</v>
      </c>
      <c r="Z77">
        <v>352</v>
      </c>
    </row>
    <row r="78" spans="1:26" x14ac:dyDescent="0.3">
      <c r="A78" t="s">
        <v>86</v>
      </c>
      <c r="B78">
        <v>20524</v>
      </c>
      <c r="C78">
        <v>448</v>
      </c>
      <c r="D78" s="1">
        <v>46169</v>
      </c>
      <c r="E78" t="s">
        <v>88</v>
      </c>
      <c r="F78">
        <v>5</v>
      </c>
      <c r="G78" t="s">
        <v>288</v>
      </c>
      <c r="H78" t="s">
        <v>246</v>
      </c>
      <c r="I78" t="s">
        <v>246</v>
      </c>
      <c r="J78" t="s">
        <v>234</v>
      </c>
      <c r="K78" t="s">
        <v>100</v>
      </c>
      <c r="L78" t="s">
        <v>101</v>
      </c>
      <c r="M78">
        <v>23</v>
      </c>
      <c r="N78" t="s">
        <v>142</v>
      </c>
      <c r="O78" t="s">
        <v>143</v>
      </c>
      <c r="P78" t="s">
        <v>95</v>
      </c>
      <c r="Q78" t="s">
        <v>103</v>
      </c>
      <c r="R78">
        <v>15</v>
      </c>
      <c r="S78" t="s">
        <v>89</v>
      </c>
      <c r="T78" t="s">
        <v>89</v>
      </c>
      <c r="U78" t="s">
        <v>90</v>
      </c>
      <c r="V78" t="s">
        <v>119</v>
      </c>
      <c r="W78">
        <v>80</v>
      </c>
      <c r="X78">
        <v>1200</v>
      </c>
      <c r="Y78" t="s">
        <v>149</v>
      </c>
      <c r="Z78">
        <v>352</v>
      </c>
    </row>
    <row r="79" spans="1:26" x14ac:dyDescent="0.3">
      <c r="A79" t="s">
        <v>86</v>
      </c>
      <c r="B79">
        <v>20525</v>
      </c>
      <c r="C79">
        <v>448</v>
      </c>
      <c r="D79" s="1">
        <v>46169</v>
      </c>
      <c r="E79" t="s">
        <v>88</v>
      </c>
      <c r="F79">
        <v>5</v>
      </c>
      <c r="G79" t="s">
        <v>288</v>
      </c>
      <c r="H79" t="s">
        <v>247</v>
      </c>
      <c r="I79" t="s">
        <v>247</v>
      </c>
      <c r="J79" t="s">
        <v>234</v>
      </c>
      <c r="K79" t="s">
        <v>100</v>
      </c>
      <c r="L79" t="s">
        <v>101</v>
      </c>
      <c r="M79">
        <v>23</v>
      </c>
      <c r="N79" t="s">
        <v>142</v>
      </c>
      <c r="O79" t="s">
        <v>248</v>
      </c>
      <c r="P79" t="s">
        <v>249</v>
      </c>
      <c r="Q79" t="s">
        <v>103</v>
      </c>
      <c r="R79">
        <v>15</v>
      </c>
      <c r="S79" t="s">
        <v>89</v>
      </c>
      <c r="T79" t="s">
        <v>89</v>
      </c>
      <c r="U79" t="s">
        <v>90</v>
      </c>
      <c r="V79" t="s">
        <v>109</v>
      </c>
      <c r="W79">
        <v>60</v>
      </c>
      <c r="X79">
        <v>900</v>
      </c>
      <c r="Y79" t="s">
        <v>149</v>
      </c>
      <c r="Z79">
        <v>352</v>
      </c>
    </row>
    <row r="80" spans="1:26" x14ac:dyDescent="0.3">
      <c r="A80" t="s">
        <v>86</v>
      </c>
      <c r="B80">
        <v>20526</v>
      </c>
      <c r="C80">
        <v>448</v>
      </c>
      <c r="D80" s="1">
        <v>46169</v>
      </c>
      <c r="E80" t="s">
        <v>88</v>
      </c>
      <c r="F80">
        <v>5</v>
      </c>
      <c r="G80" t="s">
        <v>288</v>
      </c>
      <c r="H80" t="s">
        <v>250</v>
      </c>
      <c r="I80" t="s">
        <v>250</v>
      </c>
      <c r="J80" t="s">
        <v>234</v>
      </c>
      <c r="K80" t="s">
        <v>100</v>
      </c>
      <c r="L80" t="s">
        <v>101</v>
      </c>
      <c r="M80">
        <v>23</v>
      </c>
      <c r="N80" t="s">
        <v>142</v>
      </c>
      <c r="O80" t="s">
        <v>248</v>
      </c>
      <c r="P80" t="s">
        <v>249</v>
      </c>
      <c r="Q80" t="s">
        <v>103</v>
      </c>
      <c r="R80">
        <v>15</v>
      </c>
      <c r="S80" t="s">
        <v>89</v>
      </c>
      <c r="T80" t="s">
        <v>89</v>
      </c>
      <c r="U80" t="s">
        <v>90</v>
      </c>
      <c r="V80" t="s">
        <v>111</v>
      </c>
      <c r="W80">
        <v>60</v>
      </c>
      <c r="X80">
        <v>900</v>
      </c>
      <c r="Y80" t="s">
        <v>149</v>
      </c>
      <c r="Z80">
        <v>352</v>
      </c>
    </row>
    <row r="81" spans="1:26" x14ac:dyDescent="0.3">
      <c r="A81" t="s">
        <v>86</v>
      </c>
      <c r="B81">
        <v>20527</v>
      </c>
      <c r="C81">
        <v>448</v>
      </c>
      <c r="D81" s="1">
        <v>46169</v>
      </c>
      <c r="E81" t="s">
        <v>88</v>
      </c>
      <c r="F81">
        <v>5</v>
      </c>
      <c r="G81" t="s">
        <v>288</v>
      </c>
      <c r="H81" t="s">
        <v>251</v>
      </c>
      <c r="I81" t="s">
        <v>251</v>
      </c>
      <c r="J81" t="s">
        <v>234</v>
      </c>
      <c r="K81" t="s">
        <v>100</v>
      </c>
      <c r="L81" t="s">
        <v>101</v>
      </c>
      <c r="M81">
        <v>23</v>
      </c>
      <c r="N81" t="s">
        <v>142</v>
      </c>
      <c r="O81" t="s">
        <v>143</v>
      </c>
      <c r="P81" t="s">
        <v>95</v>
      </c>
      <c r="Q81" t="s">
        <v>103</v>
      </c>
      <c r="R81">
        <v>15</v>
      </c>
      <c r="S81" t="s">
        <v>89</v>
      </c>
      <c r="T81" t="s">
        <v>89</v>
      </c>
      <c r="U81" t="s">
        <v>90</v>
      </c>
      <c r="V81" t="s">
        <v>118</v>
      </c>
      <c r="W81">
        <v>77</v>
      </c>
      <c r="X81">
        <v>1155</v>
      </c>
      <c r="Y81" t="s">
        <v>149</v>
      </c>
      <c r="Z81">
        <v>352</v>
      </c>
    </row>
    <row r="82" spans="1:26" x14ac:dyDescent="0.3">
      <c r="A82" t="s">
        <v>86</v>
      </c>
      <c r="B82">
        <v>20528</v>
      </c>
      <c r="C82">
        <v>448</v>
      </c>
      <c r="D82" s="1">
        <v>46169</v>
      </c>
      <c r="E82" t="s">
        <v>88</v>
      </c>
      <c r="F82">
        <v>5</v>
      </c>
      <c r="G82" t="s">
        <v>288</v>
      </c>
      <c r="H82" t="s">
        <v>251</v>
      </c>
      <c r="I82" t="s">
        <v>251</v>
      </c>
      <c r="J82" t="s">
        <v>234</v>
      </c>
      <c r="K82" t="s">
        <v>100</v>
      </c>
      <c r="L82" t="s">
        <v>101</v>
      </c>
      <c r="M82">
        <v>23</v>
      </c>
      <c r="N82" t="s">
        <v>142</v>
      </c>
      <c r="O82" t="s">
        <v>143</v>
      </c>
      <c r="P82" t="s">
        <v>95</v>
      </c>
      <c r="Q82" t="s">
        <v>103</v>
      </c>
      <c r="R82">
        <v>15</v>
      </c>
      <c r="S82" t="s">
        <v>89</v>
      </c>
      <c r="T82" t="s">
        <v>89</v>
      </c>
      <c r="U82" t="s">
        <v>90</v>
      </c>
      <c r="V82" t="s">
        <v>119</v>
      </c>
      <c r="W82">
        <v>3</v>
      </c>
      <c r="X82">
        <v>45</v>
      </c>
      <c r="Y82" t="s">
        <v>149</v>
      </c>
      <c r="Z82">
        <v>352</v>
      </c>
    </row>
    <row r="83" spans="1:26" x14ac:dyDescent="0.3">
      <c r="A83" t="s">
        <v>86</v>
      </c>
      <c r="B83">
        <v>20529</v>
      </c>
      <c r="C83">
        <v>448</v>
      </c>
      <c r="D83" s="1">
        <v>46169</v>
      </c>
      <c r="E83" t="s">
        <v>88</v>
      </c>
      <c r="F83">
        <v>5</v>
      </c>
      <c r="G83" t="s">
        <v>288</v>
      </c>
      <c r="H83" t="s">
        <v>252</v>
      </c>
      <c r="I83" t="s">
        <v>252</v>
      </c>
      <c r="J83" t="s">
        <v>234</v>
      </c>
      <c r="K83" t="s">
        <v>100</v>
      </c>
      <c r="L83" t="s">
        <v>101</v>
      </c>
      <c r="M83">
        <v>23</v>
      </c>
      <c r="N83" t="s">
        <v>142</v>
      </c>
      <c r="O83" t="s">
        <v>143</v>
      </c>
      <c r="P83" t="s">
        <v>95</v>
      </c>
      <c r="Q83" t="s">
        <v>103</v>
      </c>
      <c r="R83">
        <v>15</v>
      </c>
      <c r="S83" t="s">
        <v>89</v>
      </c>
      <c r="T83" t="s">
        <v>89</v>
      </c>
      <c r="U83" t="s">
        <v>90</v>
      </c>
      <c r="V83" t="s">
        <v>119</v>
      </c>
      <c r="W83">
        <v>37</v>
      </c>
      <c r="X83">
        <v>555</v>
      </c>
      <c r="Y83" t="s">
        <v>149</v>
      </c>
      <c r="Z83">
        <v>352</v>
      </c>
    </row>
    <row r="84" spans="1:26" x14ac:dyDescent="0.3">
      <c r="A84" t="s">
        <v>86</v>
      </c>
      <c r="B84">
        <v>20530</v>
      </c>
      <c r="C84">
        <v>448</v>
      </c>
      <c r="D84" s="1">
        <v>46169</v>
      </c>
      <c r="E84" t="s">
        <v>88</v>
      </c>
      <c r="F84">
        <v>5</v>
      </c>
      <c r="G84" t="s">
        <v>288</v>
      </c>
      <c r="H84" t="s">
        <v>252</v>
      </c>
      <c r="I84" t="s">
        <v>252</v>
      </c>
      <c r="J84" t="s">
        <v>234</v>
      </c>
      <c r="K84" t="s">
        <v>100</v>
      </c>
      <c r="L84" t="s">
        <v>101</v>
      </c>
      <c r="M84">
        <v>23</v>
      </c>
      <c r="N84" t="s">
        <v>142</v>
      </c>
      <c r="O84" t="s">
        <v>143</v>
      </c>
      <c r="P84" t="s">
        <v>95</v>
      </c>
      <c r="Q84" t="s">
        <v>103</v>
      </c>
      <c r="R84">
        <v>15</v>
      </c>
      <c r="S84" t="s">
        <v>89</v>
      </c>
      <c r="T84" t="s">
        <v>89</v>
      </c>
      <c r="U84" t="s">
        <v>90</v>
      </c>
      <c r="V84" t="s">
        <v>119</v>
      </c>
      <c r="W84">
        <v>43</v>
      </c>
      <c r="X84">
        <v>645</v>
      </c>
      <c r="Y84" t="s">
        <v>149</v>
      </c>
      <c r="Z84">
        <v>352</v>
      </c>
    </row>
    <row r="85" spans="1:26" x14ac:dyDescent="0.3">
      <c r="A85" t="s">
        <v>86</v>
      </c>
      <c r="B85">
        <v>20531</v>
      </c>
      <c r="C85">
        <v>448</v>
      </c>
      <c r="D85" s="1">
        <v>46169</v>
      </c>
      <c r="E85" t="s">
        <v>88</v>
      </c>
      <c r="F85">
        <v>5</v>
      </c>
      <c r="G85" t="s">
        <v>288</v>
      </c>
      <c r="H85" t="s">
        <v>253</v>
      </c>
      <c r="I85" t="s">
        <v>253</v>
      </c>
      <c r="J85" t="s">
        <v>234</v>
      </c>
      <c r="K85" t="s">
        <v>100</v>
      </c>
      <c r="L85" t="s">
        <v>101</v>
      </c>
      <c r="M85">
        <v>23</v>
      </c>
      <c r="N85" t="s">
        <v>142</v>
      </c>
      <c r="O85" t="s">
        <v>248</v>
      </c>
      <c r="P85" t="s">
        <v>249</v>
      </c>
      <c r="Q85" t="s">
        <v>103</v>
      </c>
      <c r="R85">
        <v>15</v>
      </c>
      <c r="S85" t="s">
        <v>89</v>
      </c>
      <c r="T85" t="s">
        <v>89</v>
      </c>
      <c r="U85" t="s">
        <v>90</v>
      </c>
      <c r="V85" t="s">
        <v>109</v>
      </c>
      <c r="W85">
        <v>60</v>
      </c>
      <c r="X85">
        <v>900</v>
      </c>
      <c r="Y85" t="s">
        <v>149</v>
      </c>
      <c r="Z85">
        <v>352</v>
      </c>
    </row>
    <row r="86" spans="1:26" x14ac:dyDescent="0.3">
      <c r="A86" t="s">
        <v>86</v>
      </c>
      <c r="B86">
        <v>20532</v>
      </c>
      <c r="C86">
        <v>448</v>
      </c>
      <c r="D86" s="1">
        <v>46169</v>
      </c>
      <c r="E86" t="s">
        <v>88</v>
      </c>
      <c r="F86">
        <v>5</v>
      </c>
      <c r="G86" t="s">
        <v>288</v>
      </c>
      <c r="H86" t="s">
        <v>254</v>
      </c>
      <c r="I86" t="s">
        <v>254</v>
      </c>
      <c r="J86" t="s">
        <v>234</v>
      </c>
      <c r="K86" t="s">
        <v>100</v>
      </c>
      <c r="L86" t="s">
        <v>101</v>
      </c>
      <c r="M86">
        <v>23</v>
      </c>
      <c r="N86" t="s">
        <v>142</v>
      </c>
      <c r="O86" t="s">
        <v>248</v>
      </c>
      <c r="P86" t="s">
        <v>249</v>
      </c>
      <c r="Q86" t="s">
        <v>103</v>
      </c>
      <c r="R86">
        <v>15</v>
      </c>
      <c r="S86" t="s">
        <v>89</v>
      </c>
      <c r="T86" t="s">
        <v>89</v>
      </c>
      <c r="U86" t="s">
        <v>90</v>
      </c>
      <c r="V86" t="s">
        <v>111</v>
      </c>
      <c r="W86">
        <v>60</v>
      </c>
      <c r="X86">
        <v>900</v>
      </c>
      <c r="Y86" t="s">
        <v>149</v>
      </c>
      <c r="Z86">
        <v>352</v>
      </c>
    </row>
    <row r="87" spans="1:26" x14ac:dyDescent="0.3">
      <c r="A87" t="s">
        <v>86</v>
      </c>
      <c r="B87">
        <v>20533</v>
      </c>
      <c r="C87">
        <v>448</v>
      </c>
      <c r="D87" s="1">
        <v>46169</v>
      </c>
      <c r="E87" t="s">
        <v>88</v>
      </c>
      <c r="F87">
        <v>5</v>
      </c>
      <c r="G87" t="s">
        <v>288</v>
      </c>
      <c r="H87" t="s">
        <v>255</v>
      </c>
      <c r="I87" t="s">
        <v>255</v>
      </c>
      <c r="J87" t="s">
        <v>234</v>
      </c>
      <c r="K87" t="s">
        <v>100</v>
      </c>
      <c r="L87" t="s">
        <v>101</v>
      </c>
      <c r="M87">
        <v>23</v>
      </c>
      <c r="N87" t="s">
        <v>142</v>
      </c>
      <c r="O87" t="s">
        <v>248</v>
      </c>
      <c r="P87" t="s">
        <v>249</v>
      </c>
      <c r="Q87" t="s">
        <v>103</v>
      </c>
      <c r="R87">
        <v>15</v>
      </c>
      <c r="S87" t="s">
        <v>89</v>
      </c>
      <c r="T87" t="s">
        <v>89</v>
      </c>
      <c r="U87" t="s">
        <v>90</v>
      </c>
      <c r="V87" t="s">
        <v>111</v>
      </c>
      <c r="W87">
        <v>60</v>
      </c>
      <c r="X87">
        <v>900</v>
      </c>
      <c r="Y87" t="s">
        <v>149</v>
      </c>
      <c r="Z87">
        <v>352</v>
      </c>
    </row>
    <row r="88" spans="1:26" x14ac:dyDescent="0.3">
      <c r="A88" t="s">
        <v>86</v>
      </c>
      <c r="B88">
        <v>20534</v>
      </c>
      <c r="C88">
        <v>448</v>
      </c>
      <c r="D88" s="1">
        <v>46169</v>
      </c>
      <c r="E88" t="s">
        <v>88</v>
      </c>
      <c r="F88">
        <v>5</v>
      </c>
      <c r="G88" t="s">
        <v>288</v>
      </c>
      <c r="H88" t="s">
        <v>256</v>
      </c>
      <c r="I88" t="s">
        <v>256</v>
      </c>
      <c r="J88" t="s">
        <v>234</v>
      </c>
      <c r="K88" t="s">
        <v>100</v>
      </c>
      <c r="L88" t="s">
        <v>101</v>
      </c>
      <c r="M88">
        <v>23</v>
      </c>
      <c r="N88" t="s">
        <v>142</v>
      </c>
      <c r="O88" t="s">
        <v>248</v>
      </c>
      <c r="P88" t="s">
        <v>249</v>
      </c>
      <c r="Q88" t="s">
        <v>103</v>
      </c>
      <c r="R88">
        <v>15</v>
      </c>
      <c r="S88" t="s">
        <v>89</v>
      </c>
      <c r="T88" t="s">
        <v>89</v>
      </c>
      <c r="U88" t="s">
        <v>90</v>
      </c>
      <c r="V88" t="s">
        <v>109</v>
      </c>
      <c r="W88">
        <v>60</v>
      </c>
      <c r="X88">
        <v>900</v>
      </c>
      <c r="Y88" t="s">
        <v>149</v>
      </c>
      <c r="Z88">
        <v>352</v>
      </c>
    </row>
    <row r="89" spans="1:26" x14ac:dyDescent="0.3">
      <c r="A89" t="s">
        <v>86</v>
      </c>
      <c r="B89">
        <v>20535</v>
      </c>
      <c r="C89">
        <v>448</v>
      </c>
      <c r="D89" s="1">
        <v>46169</v>
      </c>
      <c r="E89" t="s">
        <v>88</v>
      </c>
      <c r="F89">
        <v>5</v>
      </c>
      <c r="G89" t="s">
        <v>288</v>
      </c>
      <c r="H89" t="s">
        <v>257</v>
      </c>
      <c r="I89" t="s">
        <v>257</v>
      </c>
      <c r="J89" t="s">
        <v>234</v>
      </c>
      <c r="K89" t="s">
        <v>100</v>
      </c>
      <c r="L89" t="s">
        <v>101</v>
      </c>
      <c r="M89">
        <v>23</v>
      </c>
      <c r="N89" t="s">
        <v>142</v>
      </c>
      <c r="O89" t="s">
        <v>248</v>
      </c>
      <c r="P89" t="s">
        <v>249</v>
      </c>
      <c r="Q89" t="s">
        <v>103</v>
      </c>
      <c r="R89">
        <v>15</v>
      </c>
      <c r="S89" t="s">
        <v>89</v>
      </c>
      <c r="T89" t="s">
        <v>89</v>
      </c>
      <c r="U89" t="s">
        <v>90</v>
      </c>
      <c r="V89" t="s">
        <v>109</v>
      </c>
      <c r="W89">
        <v>60</v>
      </c>
      <c r="X89">
        <v>900</v>
      </c>
      <c r="Y89" t="s">
        <v>149</v>
      </c>
      <c r="Z89">
        <v>352</v>
      </c>
    </row>
    <row r="90" spans="1:26" x14ac:dyDescent="0.3">
      <c r="A90" t="s">
        <v>86</v>
      </c>
      <c r="B90">
        <v>20536</v>
      </c>
      <c r="C90">
        <v>448</v>
      </c>
      <c r="D90" s="1">
        <v>46169</v>
      </c>
      <c r="E90" t="s">
        <v>88</v>
      </c>
      <c r="F90">
        <v>5</v>
      </c>
      <c r="G90" t="s">
        <v>288</v>
      </c>
      <c r="H90" t="s">
        <v>258</v>
      </c>
      <c r="I90" t="s">
        <v>258</v>
      </c>
      <c r="J90" t="s">
        <v>234</v>
      </c>
      <c r="K90" t="s">
        <v>100</v>
      </c>
      <c r="L90" t="s">
        <v>101</v>
      </c>
      <c r="M90">
        <v>23</v>
      </c>
      <c r="N90" t="s">
        <v>142</v>
      </c>
      <c r="O90" t="s">
        <v>248</v>
      </c>
      <c r="P90" t="s">
        <v>249</v>
      </c>
      <c r="Q90" t="s">
        <v>103</v>
      </c>
      <c r="R90">
        <v>15</v>
      </c>
      <c r="S90" t="s">
        <v>89</v>
      </c>
      <c r="T90" t="s">
        <v>89</v>
      </c>
      <c r="U90" t="s">
        <v>90</v>
      </c>
      <c r="V90" t="s">
        <v>109</v>
      </c>
      <c r="W90">
        <v>60</v>
      </c>
      <c r="X90">
        <v>900</v>
      </c>
      <c r="Y90" t="s">
        <v>149</v>
      </c>
      <c r="Z90">
        <v>352</v>
      </c>
    </row>
    <row r="91" spans="1:26" x14ac:dyDescent="0.3">
      <c r="A91" t="s">
        <v>86</v>
      </c>
      <c r="B91">
        <v>20537</v>
      </c>
      <c r="C91">
        <v>448</v>
      </c>
      <c r="D91" s="1">
        <v>46169</v>
      </c>
      <c r="E91" t="s">
        <v>88</v>
      </c>
      <c r="F91">
        <v>5</v>
      </c>
      <c r="G91" t="s">
        <v>288</v>
      </c>
      <c r="H91" t="s">
        <v>259</v>
      </c>
      <c r="I91" t="s">
        <v>259</v>
      </c>
      <c r="J91" t="s">
        <v>234</v>
      </c>
      <c r="K91" t="s">
        <v>100</v>
      </c>
      <c r="L91" t="s">
        <v>101</v>
      </c>
      <c r="M91">
        <v>23</v>
      </c>
      <c r="N91" t="s">
        <v>142</v>
      </c>
      <c r="O91" t="s">
        <v>143</v>
      </c>
      <c r="P91" t="s">
        <v>95</v>
      </c>
      <c r="Q91" t="s">
        <v>103</v>
      </c>
      <c r="R91">
        <v>15</v>
      </c>
      <c r="S91" t="s">
        <v>89</v>
      </c>
      <c r="T91" t="s">
        <v>89</v>
      </c>
      <c r="U91" t="s">
        <v>90</v>
      </c>
      <c r="V91" t="s">
        <v>118</v>
      </c>
      <c r="W91">
        <v>80</v>
      </c>
      <c r="X91">
        <v>1200</v>
      </c>
      <c r="Y91" t="s">
        <v>149</v>
      </c>
      <c r="Z91">
        <v>352</v>
      </c>
    </row>
    <row r="92" spans="1:26" x14ac:dyDescent="0.3">
      <c r="A92" t="s">
        <v>86</v>
      </c>
      <c r="B92">
        <v>20538</v>
      </c>
      <c r="C92">
        <v>449</v>
      </c>
      <c r="D92" s="1">
        <v>46171</v>
      </c>
      <c r="E92" t="s">
        <v>88</v>
      </c>
      <c r="F92">
        <v>5</v>
      </c>
      <c r="G92" t="s">
        <v>288</v>
      </c>
      <c r="H92" t="s">
        <v>261</v>
      </c>
      <c r="I92" t="s">
        <v>261</v>
      </c>
      <c r="J92" t="s">
        <v>262</v>
      </c>
      <c r="K92" t="s">
        <v>100</v>
      </c>
      <c r="L92" t="s">
        <v>101</v>
      </c>
      <c r="M92">
        <v>23</v>
      </c>
      <c r="N92" t="s">
        <v>142</v>
      </c>
      <c r="O92" t="s">
        <v>174</v>
      </c>
      <c r="P92" t="s">
        <v>175</v>
      </c>
      <c r="Q92" t="s">
        <v>103</v>
      </c>
      <c r="R92">
        <v>15</v>
      </c>
      <c r="S92" t="s">
        <v>89</v>
      </c>
      <c r="T92" t="s">
        <v>89</v>
      </c>
      <c r="U92" t="s">
        <v>90</v>
      </c>
      <c r="V92" t="s">
        <v>105</v>
      </c>
      <c r="W92">
        <v>60</v>
      </c>
      <c r="X92">
        <v>900</v>
      </c>
      <c r="Y92" t="s">
        <v>149</v>
      </c>
      <c r="Z92">
        <v>352</v>
      </c>
    </row>
    <row r="93" spans="1:26" x14ac:dyDescent="0.3">
      <c r="A93" t="s">
        <v>86</v>
      </c>
      <c r="B93">
        <v>20539</v>
      </c>
      <c r="C93">
        <v>449</v>
      </c>
      <c r="D93" s="1">
        <v>46171</v>
      </c>
      <c r="E93" t="s">
        <v>88</v>
      </c>
      <c r="F93">
        <v>5</v>
      </c>
      <c r="G93" t="s">
        <v>288</v>
      </c>
      <c r="H93" t="s">
        <v>268</v>
      </c>
      <c r="I93" t="s">
        <v>268</v>
      </c>
      <c r="J93" t="s">
        <v>262</v>
      </c>
      <c r="K93" t="s">
        <v>100</v>
      </c>
      <c r="L93" t="s">
        <v>101</v>
      </c>
      <c r="M93">
        <v>23</v>
      </c>
      <c r="N93" t="s">
        <v>142</v>
      </c>
      <c r="O93" t="s">
        <v>174</v>
      </c>
      <c r="P93" t="s">
        <v>175</v>
      </c>
      <c r="Q93" t="s">
        <v>103</v>
      </c>
      <c r="R93">
        <v>15</v>
      </c>
      <c r="S93" t="s">
        <v>89</v>
      </c>
      <c r="T93" t="s">
        <v>89</v>
      </c>
      <c r="U93" t="s">
        <v>90</v>
      </c>
      <c r="V93" t="s">
        <v>107</v>
      </c>
      <c r="W93">
        <v>60</v>
      </c>
      <c r="X93">
        <v>900</v>
      </c>
      <c r="Y93" t="s">
        <v>149</v>
      </c>
      <c r="Z93">
        <v>352</v>
      </c>
    </row>
    <row r="94" spans="1:26" x14ac:dyDescent="0.3">
      <c r="A94" t="s">
        <v>86</v>
      </c>
      <c r="B94">
        <v>20540</v>
      </c>
      <c r="C94">
        <v>449</v>
      </c>
      <c r="D94" s="1">
        <v>46171</v>
      </c>
      <c r="E94" t="s">
        <v>88</v>
      </c>
      <c r="F94">
        <v>5</v>
      </c>
      <c r="G94" t="s">
        <v>288</v>
      </c>
      <c r="H94" t="s">
        <v>269</v>
      </c>
      <c r="I94" t="s">
        <v>269</v>
      </c>
      <c r="J94" t="s">
        <v>262</v>
      </c>
      <c r="K94" t="s">
        <v>100</v>
      </c>
      <c r="L94" t="s">
        <v>101</v>
      </c>
      <c r="M94">
        <v>23</v>
      </c>
      <c r="N94" t="s">
        <v>142</v>
      </c>
      <c r="O94" t="s">
        <v>174</v>
      </c>
      <c r="P94" t="s">
        <v>175</v>
      </c>
      <c r="Q94" t="s">
        <v>103</v>
      </c>
      <c r="R94">
        <v>15</v>
      </c>
      <c r="S94" t="s">
        <v>89</v>
      </c>
      <c r="T94" t="s">
        <v>89</v>
      </c>
      <c r="U94" t="s">
        <v>90</v>
      </c>
      <c r="V94" t="s">
        <v>105</v>
      </c>
      <c r="W94">
        <v>2</v>
      </c>
      <c r="X94">
        <v>30</v>
      </c>
      <c r="Y94" t="s">
        <v>149</v>
      </c>
      <c r="Z94">
        <v>352</v>
      </c>
    </row>
    <row r="95" spans="1:26" x14ac:dyDescent="0.3">
      <c r="A95" t="s">
        <v>86</v>
      </c>
      <c r="B95">
        <v>20541</v>
      </c>
      <c r="C95">
        <v>449</v>
      </c>
      <c r="D95" s="1">
        <v>46171</v>
      </c>
      <c r="E95" t="s">
        <v>88</v>
      </c>
      <c r="F95">
        <v>5</v>
      </c>
      <c r="G95" t="s">
        <v>288</v>
      </c>
      <c r="H95" t="s">
        <v>269</v>
      </c>
      <c r="I95" t="s">
        <v>269</v>
      </c>
      <c r="J95" t="s">
        <v>262</v>
      </c>
      <c r="K95" t="s">
        <v>100</v>
      </c>
      <c r="L95" t="s">
        <v>101</v>
      </c>
      <c r="M95">
        <v>23</v>
      </c>
      <c r="N95" t="s">
        <v>142</v>
      </c>
      <c r="O95" t="s">
        <v>174</v>
      </c>
      <c r="P95" t="s">
        <v>175</v>
      </c>
      <c r="Q95" t="s">
        <v>103</v>
      </c>
      <c r="R95">
        <v>15</v>
      </c>
      <c r="S95" t="s">
        <v>89</v>
      </c>
      <c r="T95" t="s">
        <v>89</v>
      </c>
      <c r="U95" t="s">
        <v>90</v>
      </c>
      <c r="V95" t="s">
        <v>105</v>
      </c>
      <c r="W95">
        <v>46</v>
      </c>
      <c r="X95">
        <v>690</v>
      </c>
      <c r="Y95" t="s">
        <v>149</v>
      </c>
      <c r="Z95">
        <v>352</v>
      </c>
    </row>
    <row r="96" spans="1:26" x14ac:dyDescent="0.3">
      <c r="A96" t="s">
        <v>86</v>
      </c>
      <c r="B96">
        <v>20542</v>
      </c>
      <c r="C96">
        <v>449</v>
      </c>
      <c r="D96" s="1">
        <v>46171</v>
      </c>
      <c r="E96" t="s">
        <v>88</v>
      </c>
      <c r="F96">
        <v>5</v>
      </c>
      <c r="G96" t="s">
        <v>288</v>
      </c>
      <c r="H96" t="s">
        <v>269</v>
      </c>
      <c r="I96" t="s">
        <v>269</v>
      </c>
      <c r="J96" t="s">
        <v>262</v>
      </c>
      <c r="K96" t="s">
        <v>100</v>
      </c>
      <c r="L96" t="s">
        <v>101</v>
      </c>
      <c r="M96">
        <v>23</v>
      </c>
      <c r="N96" t="s">
        <v>142</v>
      </c>
      <c r="O96" t="s">
        <v>174</v>
      </c>
      <c r="P96" t="s">
        <v>175</v>
      </c>
      <c r="Q96" t="s">
        <v>103</v>
      </c>
      <c r="R96">
        <v>15</v>
      </c>
      <c r="S96" t="s">
        <v>89</v>
      </c>
      <c r="T96" t="s">
        <v>89</v>
      </c>
      <c r="U96" t="s">
        <v>90</v>
      </c>
      <c r="V96" t="s">
        <v>105</v>
      </c>
      <c r="W96">
        <v>12</v>
      </c>
      <c r="X96">
        <v>180</v>
      </c>
      <c r="Y96" t="s">
        <v>149</v>
      </c>
      <c r="Z96">
        <v>352</v>
      </c>
    </row>
    <row r="97" spans="1:26" x14ac:dyDescent="0.3">
      <c r="A97" t="s">
        <v>86</v>
      </c>
      <c r="B97">
        <v>20543</v>
      </c>
      <c r="C97">
        <v>449</v>
      </c>
      <c r="D97" s="1">
        <v>46171</v>
      </c>
      <c r="E97" t="s">
        <v>88</v>
      </c>
      <c r="F97">
        <v>5</v>
      </c>
      <c r="G97" t="s">
        <v>288</v>
      </c>
      <c r="H97" t="s">
        <v>270</v>
      </c>
      <c r="I97" t="s">
        <v>270</v>
      </c>
      <c r="J97" t="s">
        <v>262</v>
      </c>
      <c r="K97" t="s">
        <v>100</v>
      </c>
      <c r="L97" t="s">
        <v>101</v>
      </c>
      <c r="M97">
        <v>23</v>
      </c>
      <c r="N97" t="s">
        <v>142</v>
      </c>
      <c r="O97" t="s">
        <v>174</v>
      </c>
      <c r="P97" t="s">
        <v>175</v>
      </c>
      <c r="Q97" t="s">
        <v>103</v>
      </c>
      <c r="R97">
        <v>15</v>
      </c>
      <c r="S97" t="s">
        <v>89</v>
      </c>
      <c r="T97" t="s">
        <v>89</v>
      </c>
      <c r="U97" t="s">
        <v>90</v>
      </c>
      <c r="V97" t="s">
        <v>107</v>
      </c>
      <c r="W97">
        <v>52</v>
      </c>
      <c r="X97">
        <v>780</v>
      </c>
      <c r="Y97" t="s">
        <v>149</v>
      </c>
      <c r="Z97">
        <v>352</v>
      </c>
    </row>
    <row r="98" spans="1:26" x14ac:dyDescent="0.3">
      <c r="A98" t="s">
        <v>86</v>
      </c>
      <c r="B98">
        <v>20544</v>
      </c>
      <c r="C98">
        <v>449</v>
      </c>
      <c r="D98" s="1">
        <v>46171</v>
      </c>
      <c r="E98" t="s">
        <v>88</v>
      </c>
      <c r="F98">
        <v>5</v>
      </c>
      <c r="G98" t="s">
        <v>288</v>
      </c>
      <c r="H98" t="s">
        <v>270</v>
      </c>
      <c r="I98" t="s">
        <v>270</v>
      </c>
      <c r="J98" t="s">
        <v>262</v>
      </c>
      <c r="K98" t="s">
        <v>100</v>
      </c>
      <c r="L98" t="s">
        <v>101</v>
      </c>
      <c r="M98">
        <v>23</v>
      </c>
      <c r="N98" t="s">
        <v>142</v>
      </c>
      <c r="O98" t="s">
        <v>174</v>
      </c>
      <c r="P98" t="s">
        <v>175</v>
      </c>
      <c r="Q98" t="s">
        <v>103</v>
      </c>
      <c r="R98">
        <v>15</v>
      </c>
      <c r="S98" t="s">
        <v>89</v>
      </c>
      <c r="T98" t="s">
        <v>89</v>
      </c>
      <c r="U98" t="s">
        <v>90</v>
      </c>
      <c r="V98" t="s">
        <v>107</v>
      </c>
      <c r="W98">
        <v>8</v>
      </c>
      <c r="X98">
        <v>120</v>
      </c>
      <c r="Y98" t="s">
        <v>149</v>
      </c>
      <c r="Z98">
        <v>352</v>
      </c>
    </row>
    <row r="99" spans="1:26" x14ac:dyDescent="0.3">
      <c r="A99" t="s">
        <v>86</v>
      </c>
      <c r="B99">
        <v>20545</v>
      </c>
      <c r="C99">
        <v>449</v>
      </c>
      <c r="D99" s="1">
        <v>46171</v>
      </c>
      <c r="E99" t="s">
        <v>88</v>
      </c>
      <c r="F99">
        <v>5</v>
      </c>
      <c r="G99" t="s">
        <v>288</v>
      </c>
      <c r="H99" t="s">
        <v>271</v>
      </c>
      <c r="I99" t="s">
        <v>271</v>
      </c>
      <c r="J99" t="s">
        <v>262</v>
      </c>
      <c r="K99" t="s">
        <v>100</v>
      </c>
      <c r="L99" t="s">
        <v>101</v>
      </c>
      <c r="M99">
        <v>23</v>
      </c>
      <c r="N99" t="s">
        <v>142</v>
      </c>
      <c r="O99" t="s">
        <v>174</v>
      </c>
      <c r="P99" t="s">
        <v>175</v>
      </c>
      <c r="Q99" t="s">
        <v>103</v>
      </c>
      <c r="R99">
        <v>15</v>
      </c>
      <c r="S99" t="s">
        <v>89</v>
      </c>
      <c r="T99" t="s">
        <v>89</v>
      </c>
      <c r="U99" t="s">
        <v>90</v>
      </c>
      <c r="V99" t="s">
        <v>107</v>
      </c>
      <c r="W99">
        <v>60</v>
      </c>
      <c r="X99">
        <v>900</v>
      </c>
      <c r="Y99" t="s">
        <v>149</v>
      </c>
      <c r="Z99">
        <v>352</v>
      </c>
    </row>
    <row r="100" spans="1:26" x14ac:dyDescent="0.3">
      <c r="A100" t="s">
        <v>86</v>
      </c>
      <c r="B100">
        <v>20546</v>
      </c>
      <c r="C100">
        <v>449</v>
      </c>
      <c r="D100" s="1">
        <v>46171</v>
      </c>
      <c r="E100" t="s">
        <v>88</v>
      </c>
      <c r="F100">
        <v>5</v>
      </c>
      <c r="G100" t="s">
        <v>288</v>
      </c>
      <c r="H100" t="s">
        <v>272</v>
      </c>
      <c r="I100" t="s">
        <v>272</v>
      </c>
      <c r="J100" t="s">
        <v>262</v>
      </c>
      <c r="K100" t="s">
        <v>100</v>
      </c>
      <c r="L100" t="s">
        <v>101</v>
      </c>
      <c r="M100">
        <v>23</v>
      </c>
      <c r="N100" t="s">
        <v>142</v>
      </c>
      <c r="O100" t="s">
        <v>174</v>
      </c>
      <c r="P100" t="s">
        <v>175</v>
      </c>
      <c r="Q100" t="s">
        <v>103</v>
      </c>
      <c r="R100">
        <v>15</v>
      </c>
      <c r="S100" t="s">
        <v>89</v>
      </c>
      <c r="T100" t="s">
        <v>89</v>
      </c>
      <c r="U100" t="s">
        <v>90</v>
      </c>
      <c r="V100" t="s">
        <v>105</v>
      </c>
      <c r="W100">
        <v>24</v>
      </c>
      <c r="X100">
        <v>360</v>
      </c>
      <c r="Y100" t="s">
        <v>149</v>
      </c>
      <c r="Z100">
        <v>352</v>
      </c>
    </row>
    <row r="101" spans="1:26" x14ac:dyDescent="0.3">
      <c r="A101" t="s">
        <v>86</v>
      </c>
      <c r="B101">
        <v>20547</v>
      </c>
      <c r="C101">
        <v>449</v>
      </c>
      <c r="D101" s="1">
        <v>46171</v>
      </c>
      <c r="E101" t="s">
        <v>88</v>
      </c>
      <c r="F101">
        <v>5</v>
      </c>
      <c r="G101" t="s">
        <v>288</v>
      </c>
      <c r="H101" t="s">
        <v>272</v>
      </c>
      <c r="I101" t="s">
        <v>272</v>
      </c>
      <c r="J101" t="s">
        <v>262</v>
      </c>
      <c r="K101" t="s">
        <v>100</v>
      </c>
      <c r="L101" t="s">
        <v>101</v>
      </c>
      <c r="M101">
        <v>23</v>
      </c>
      <c r="N101" t="s">
        <v>142</v>
      </c>
      <c r="O101" t="s">
        <v>174</v>
      </c>
      <c r="P101" t="s">
        <v>175</v>
      </c>
      <c r="Q101" t="s">
        <v>103</v>
      </c>
      <c r="R101">
        <v>15</v>
      </c>
      <c r="S101" t="s">
        <v>89</v>
      </c>
      <c r="T101" t="s">
        <v>89</v>
      </c>
      <c r="U101" t="s">
        <v>90</v>
      </c>
      <c r="V101" t="s">
        <v>105</v>
      </c>
      <c r="W101">
        <v>36</v>
      </c>
      <c r="X101">
        <v>540</v>
      </c>
      <c r="Y101" t="s">
        <v>149</v>
      </c>
      <c r="Z101">
        <v>352</v>
      </c>
    </row>
    <row r="102" spans="1:26" x14ac:dyDescent="0.3">
      <c r="A102" t="s">
        <v>86</v>
      </c>
      <c r="B102">
        <v>20548</v>
      </c>
      <c r="C102">
        <v>449</v>
      </c>
      <c r="D102" s="1">
        <v>46171</v>
      </c>
      <c r="E102" t="s">
        <v>88</v>
      </c>
      <c r="F102">
        <v>5</v>
      </c>
      <c r="G102" t="s">
        <v>288</v>
      </c>
      <c r="H102" t="s">
        <v>273</v>
      </c>
      <c r="I102" t="s">
        <v>273</v>
      </c>
      <c r="J102" t="s">
        <v>262</v>
      </c>
      <c r="K102" t="s">
        <v>100</v>
      </c>
      <c r="L102" t="s">
        <v>101</v>
      </c>
      <c r="M102">
        <v>23</v>
      </c>
      <c r="N102" t="s">
        <v>142</v>
      </c>
      <c r="O102" t="s">
        <v>174</v>
      </c>
      <c r="P102" t="s">
        <v>175</v>
      </c>
      <c r="Q102" t="s">
        <v>103</v>
      </c>
      <c r="R102">
        <v>15</v>
      </c>
      <c r="S102" t="s">
        <v>89</v>
      </c>
      <c r="T102" t="s">
        <v>89</v>
      </c>
      <c r="U102" t="s">
        <v>90</v>
      </c>
      <c r="V102" t="s">
        <v>107</v>
      </c>
      <c r="W102">
        <v>60</v>
      </c>
      <c r="X102">
        <v>900</v>
      </c>
      <c r="Y102" t="s">
        <v>149</v>
      </c>
      <c r="Z102">
        <v>352</v>
      </c>
    </row>
    <row r="103" spans="1:26" x14ac:dyDescent="0.3">
      <c r="A103" t="s">
        <v>86</v>
      </c>
      <c r="B103">
        <v>20549</v>
      </c>
      <c r="C103">
        <v>449</v>
      </c>
      <c r="D103" s="1">
        <v>46171</v>
      </c>
      <c r="E103" t="s">
        <v>88</v>
      </c>
      <c r="F103">
        <v>5</v>
      </c>
      <c r="G103" t="s">
        <v>288</v>
      </c>
      <c r="H103" t="s">
        <v>274</v>
      </c>
      <c r="I103" t="s">
        <v>274</v>
      </c>
      <c r="J103" t="s">
        <v>262</v>
      </c>
      <c r="K103" t="s">
        <v>100</v>
      </c>
      <c r="L103" t="s">
        <v>101</v>
      </c>
      <c r="M103">
        <v>23</v>
      </c>
      <c r="N103" t="s">
        <v>142</v>
      </c>
      <c r="O103" t="s">
        <v>174</v>
      </c>
      <c r="P103" t="s">
        <v>175</v>
      </c>
      <c r="Q103" t="s">
        <v>103</v>
      </c>
      <c r="R103">
        <v>15</v>
      </c>
      <c r="S103" t="s">
        <v>89</v>
      </c>
      <c r="T103" t="s">
        <v>89</v>
      </c>
      <c r="U103" t="s">
        <v>90</v>
      </c>
      <c r="V103" t="s">
        <v>107</v>
      </c>
      <c r="W103">
        <v>60</v>
      </c>
      <c r="X103">
        <v>900</v>
      </c>
      <c r="Y103" t="s">
        <v>149</v>
      </c>
      <c r="Z103">
        <v>352</v>
      </c>
    </row>
    <row r="104" spans="1:26" x14ac:dyDescent="0.3">
      <c r="A104" t="s">
        <v>86</v>
      </c>
      <c r="B104">
        <v>20550</v>
      </c>
      <c r="C104">
        <v>449</v>
      </c>
      <c r="D104" s="1">
        <v>46171</v>
      </c>
      <c r="E104" t="s">
        <v>88</v>
      </c>
      <c r="F104">
        <v>5</v>
      </c>
      <c r="G104" t="s">
        <v>288</v>
      </c>
      <c r="H104" t="s">
        <v>275</v>
      </c>
      <c r="I104" t="s">
        <v>275</v>
      </c>
      <c r="J104" t="s">
        <v>262</v>
      </c>
      <c r="K104" t="s">
        <v>100</v>
      </c>
      <c r="L104" t="s">
        <v>101</v>
      </c>
      <c r="M104">
        <v>23</v>
      </c>
      <c r="N104" t="s">
        <v>142</v>
      </c>
      <c r="O104" t="s">
        <v>174</v>
      </c>
      <c r="P104" t="s">
        <v>175</v>
      </c>
      <c r="Q104" t="s">
        <v>103</v>
      </c>
      <c r="R104">
        <v>15</v>
      </c>
      <c r="S104" t="s">
        <v>89</v>
      </c>
      <c r="T104" t="s">
        <v>89</v>
      </c>
      <c r="U104" t="s">
        <v>90</v>
      </c>
      <c r="V104" t="s">
        <v>107</v>
      </c>
      <c r="W104">
        <v>60</v>
      </c>
      <c r="X104">
        <v>900</v>
      </c>
      <c r="Y104" t="s">
        <v>149</v>
      </c>
      <c r="Z104">
        <v>352</v>
      </c>
    </row>
    <row r="105" spans="1:26" x14ac:dyDescent="0.3">
      <c r="A105" t="s">
        <v>86</v>
      </c>
      <c r="B105">
        <v>20551</v>
      </c>
      <c r="C105">
        <v>449</v>
      </c>
      <c r="D105" s="1">
        <v>46171</v>
      </c>
      <c r="E105" t="s">
        <v>88</v>
      </c>
      <c r="F105">
        <v>5</v>
      </c>
      <c r="G105" t="s">
        <v>288</v>
      </c>
      <c r="H105" t="s">
        <v>276</v>
      </c>
      <c r="I105" t="s">
        <v>276</v>
      </c>
      <c r="J105" t="s">
        <v>262</v>
      </c>
      <c r="K105" t="s">
        <v>100</v>
      </c>
      <c r="L105" t="s">
        <v>101</v>
      </c>
      <c r="M105">
        <v>23</v>
      </c>
      <c r="N105" t="s">
        <v>142</v>
      </c>
      <c r="O105" t="s">
        <v>174</v>
      </c>
      <c r="P105" t="s">
        <v>175</v>
      </c>
      <c r="Q105" t="s">
        <v>103</v>
      </c>
      <c r="R105">
        <v>15</v>
      </c>
      <c r="S105" t="s">
        <v>89</v>
      </c>
      <c r="T105" t="s">
        <v>89</v>
      </c>
      <c r="U105" t="s">
        <v>90</v>
      </c>
      <c r="V105" t="s">
        <v>105</v>
      </c>
      <c r="W105">
        <v>60</v>
      </c>
      <c r="X105">
        <v>900</v>
      </c>
      <c r="Y105" t="s">
        <v>149</v>
      </c>
      <c r="Z105">
        <v>352</v>
      </c>
    </row>
    <row r="106" spans="1:26" x14ac:dyDescent="0.3">
      <c r="A106" t="s">
        <v>86</v>
      </c>
      <c r="B106">
        <v>20552</v>
      </c>
      <c r="C106">
        <v>449</v>
      </c>
      <c r="D106" s="1">
        <v>46171</v>
      </c>
      <c r="E106" t="s">
        <v>88</v>
      </c>
      <c r="F106">
        <v>5</v>
      </c>
      <c r="G106" t="s">
        <v>288</v>
      </c>
      <c r="H106" t="s">
        <v>277</v>
      </c>
      <c r="I106" t="s">
        <v>277</v>
      </c>
      <c r="J106" t="s">
        <v>262</v>
      </c>
      <c r="K106" t="s">
        <v>100</v>
      </c>
      <c r="L106" t="s">
        <v>101</v>
      </c>
      <c r="M106">
        <v>23</v>
      </c>
      <c r="N106" t="s">
        <v>142</v>
      </c>
      <c r="O106" t="s">
        <v>174</v>
      </c>
      <c r="P106" t="s">
        <v>175</v>
      </c>
      <c r="Q106" t="s">
        <v>103</v>
      </c>
      <c r="R106">
        <v>15</v>
      </c>
      <c r="S106" t="s">
        <v>89</v>
      </c>
      <c r="T106" t="s">
        <v>89</v>
      </c>
      <c r="U106" t="s">
        <v>90</v>
      </c>
      <c r="V106" t="s">
        <v>107</v>
      </c>
      <c r="W106">
        <v>60</v>
      </c>
      <c r="X106">
        <v>900</v>
      </c>
      <c r="Y106" t="s">
        <v>149</v>
      </c>
      <c r="Z106">
        <v>352</v>
      </c>
    </row>
    <row r="107" spans="1:26" x14ac:dyDescent="0.3">
      <c r="A107" t="s">
        <v>86</v>
      </c>
      <c r="B107">
        <v>20553</v>
      </c>
      <c r="C107">
        <v>449</v>
      </c>
      <c r="D107" s="1">
        <v>46171</v>
      </c>
      <c r="E107" t="s">
        <v>88</v>
      </c>
      <c r="F107">
        <v>5</v>
      </c>
      <c r="G107" t="s">
        <v>288</v>
      </c>
      <c r="H107" t="s">
        <v>278</v>
      </c>
      <c r="I107" t="s">
        <v>278</v>
      </c>
      <c r="J107" t="s">
        <v>262</v>
      </c>
      <c r="K107" t="s">
        <v>100</v>
      </c>
      <c r="L107" t="s">
        <v>101</v>
      </c>
      <c r="M107">
        <v>23</v>
      </c>
      <c r="N107" t="s">
        <v>142</v>
      </c>
      <c r="O107" t="s">
        <v>174</v>
      </c>
      <c r="P107" t="s">
        <v>175</v>
      </c>
      <c r="Q107" t="s">
        <v>103</v>
      </c>
      <c r="R107">
        <v>15</v>
      </c>
      <c r="S107" t="s">
        <v>89</v>
      </c>
      <c r="T107" t="s">
        <v>89</v>
      </c>
      <c r="U107" t="s">
        <v>90</v>
      </c>
      <c r="V107" t="s">
        <v>107</v>
      </c>
      <c r="W107">
        <v>60</v>
      </c>
      <c r="X107">
        <v>900</v>
      </c>
      <c r="Y107" t="s">
        <v>149</v>
      </c>
      <c r="Z107">
        <v>352</v>
      </c>
    </row>
    <row r="108" spans="1:26" x14ac:dyDescent="0.3">
      <c r="A108" t="s">
        <v>86</v>
      </c>
      <c r="B108">
        <v>20554</v>
      </c>
      <c r="C108">
        <v>449</v>
      </c>
      <c r="D108" s="1">
        <v>46171</v>
      </c>
      <c r="E108" t="s">
        <v>88</v>
      </c>
      <c r="F108">
        <v>5</v>
      </c>
      <c r="G108" t="s">
        <v>288</v>
      </c>
      <c r="H108" t="s">
        <v>279</v>
      </c>
      <c r="I108" t="s">
        <v>279</v>
      </c>
      <c r="J108" t="s">
        <v>262</v>
      </c>
      <c r="K108" t="s">
        <v>100</v>
      </c>
      <c r="L108" t="s">
        <v>101</v>
      </c>
      <c r="M108">
        <v>23</v>
      </c>
      <c r="N108" t="s">
        <v>142</v>
      </c>
      <c r="O108" t="s">
        <v>174</v>
      </c>
      <c r="P108" t="s">
        <v>175</v>
      </c>
      <c r="Q108" t="s">
        <v>103</v>
      </c>
      <c r="R108">
        <v>15</v>
      </c>
      <c r="S108" t="s">
        <v>89</v>
      </c>
      <c r="T108" t="s">
        <v>89</v>
      </c>
      <c r="U108" t="s">
        <v>90</v>
      </c>
      <c r="V108" t="s">
        <v>107</v>
      </c>
      <c r="W108">
        <v>60</v>
      </c>
      <c r="X108">
        <v>900</v>
      </c>
      <c r="Y108" t="s">
        <v>149</v>
      </c>
      <c r="Z108">
        <v>352</v>
      </c>
    </row>
    <row r="109" spans="1:26" x14ac:dyDescent="0.3">
      <c r="A109" t="s">
        <v>86</v>
      </c>
      <c r="B109">
        <v>20555</v>
      </c>
      <c r="C109">
        <v>449</v>
      </c>
      <c r="D109" s="1">
        <v>46171</v>
      </c>
      <c r="E109" t="s">
        <v>88</v>
      </c>
      <c r="F109">
        <v>5</v>
      </c>
      <c r="G109" t="s">
        <v>288</v>
      </c>
      <c r="H109" t="s">
        <v>280</v>
      </c>
      <c r="I109" t="s">
        <v>280</v>
      </c>
      <c r="J109" t="s">
        <v>262</v>
      </c>
      <c r="K109" t="s">
        <v>100</v>
      </c>
      <c r="L109" t="s">
        <v>101</v>
      </c>
      <c r="M109">
        <v>23</v>
      </c>
      <c r="N109" t="s">
        <v>142</v>
      </c>
      <c r="O109" t="s">
        <v>174</v>
      </c>
      <c r="P109" t="s">
        <v>175</v>
      </c>
      <c r="Q109" t="s">
        <v>103</v>
      </c>
      <c r="R109">
        <v>15</v>
      </c>
      <c r="S109" t="s">
        <v>89</v>
      </c>
      <c r="T109" t="s">
        <v>89</v>
      </c>
      <c r="U109" t="s">
        <v>90</v>
      </c>
      <c r="V109" t="s">
        <v>107</v>
      </c>
      <c r="W109">
        <v>60</v>
      </c>
      <c r="X109">
        <v>900</v>
      </c>
      <c r="Y109" t="s">
        <v>149</v>
      </c>
      <c r="Z109">
        <v>352</v>
      </c>
    </row>
    <row r="110" spans="1:26" x14ac:dyDescent="0.3">
      <c r="A110" t="s">
        <v>86</v>
      </c>
      <c r="B110">
        <v>20556</v>
      </c>
      <c r="C110">
        <v>449</v>
      </c>
      <c r="D110" s="1">
        <v>46171</v>
      </c>
      <c r="E110" t="s">
        <v>88</v>
      </c>
      <c r="F110">
        <v>5</v>
      </c>
      <c r="G110" t="s">
        <v>288</v>
      </c>
      <c r="H110" t="s">
        <v>281</v>
      </c>
      <c r="I110" t="s">
        <v>281</v>
      </c>
      <c r="J110" t="s">
        <v>262</v>
      </c>
      <c r="K110" t="s">
        <v>100</v>
      </c>
      <c r="L110" t="s">
        <v>101</v>
      </c>
      <c r="M110">
        <v>23</v>
      </c>
      <c r="N110" t="s">
        <v>142</v>
      </c>
      <c r="O110" t="s">
        <v>174</v>
      </c>
      <c r="P110" t="s">
        <v>175</v>
      </c>
      <c r="Q110" t="s">
        <v>103</v>
      </c>
      <c r="R110">
        <v>15</v>
      </c>
      <c r="S110" t="s">
        <v>89</v>
      </c>
      <c r="T110" t="s">
        <v>89</v>
      </c>
      <c r="U110" t="s">
        <v>90</v>
      </c>
      <c r="V110" t="s">
        <v>105</v>
      </c>
      <c r="W110">
        <v>60</v>
      </c>
      <c r="X110">
        <v>900</v>
      </c>
      <c r="Y110" t="s">
        <v>149</v>
      </c>
      <c r="Z110">
        <v>352</v>
      </c>
    </row>
    <row r="111" spans="1:26" x14ac:dyDescent="0.3">
      <c r="A111" t="s">
        <v>86</v>
      </c>
      <c r="B111">
        <v>20557</v>
      </c>
      <c r="C111">
        <v>449</v>
      </c>
      <c r="D111" s="1">
        <v>46171</v>
      </c>
      <c r="E111" t="s">
        <v>88</v>
      </c>
      <c r="F111">
        <v>5</v>
      </c>
      <c r="G111" t="s">
        <v>288</v>
      </c>
      <c r="H111" t="s">
        <v>282</v>
      </c>
      <c r="I111" t="s">
        <v>282</v>
      </c>
      <c r="J111" t="s">
        <v>262</v>
      </c>
      <c r="K111" t="s">
        <v>100</v>
      </c>
      <c r="L111" t="s">
        <v>101</v>
      </c>
      <c r="M111">
        <v>23</v>
      </c>
      <c r="N111" t="s">
        <v>142</v>
      </c>
      <c r="O111" t="s">
        <v>174</v>
      </c>
      <c r="P111" t="s">
        <v>175</v>
      </c>
      <c r="Q111" t="s">
        <v>103</v>
      </c>
      <c r="R111">
        <v>15</v>
      </c>
      <c r="S111" t="s">
        <v>89</v>
      </c>
      <c r="T111" t="s">
        <v>89</v>
      </c>
      <c r="U111" t="s">
        <v>90</v>
      </c>
      <c r="V111" t="s">
        <v>107</v>
      </c>
      <c r="W111">
        <v>60</v>
      </c>
      <c r="X111">
        <v>900</v>
      </c>
      <c r="Y111" t="s">
        <v>149</v>
      </c>
      <c r="Z111">
        <v>352</v>
      </c>
    </row>
    <row r="112" spans="1:26" x14ac:dyDescent="0.3">
      <c r="A112" t="s">
        <v>86</v>
      </c>
      <c r="B112">
        <v>20558</v>
      </c>
      <c r="C112">
        <v>449</v>
      </c>
      <c r="D112" s="1">
        <v>46171</v>
      </c>
      <c r="E112" t="s">
        <v>88</v>
      </c>
      <c r="F112">
        <v>5</v>
      </c>
      <c r="G112" t="s">
        <v>288</v>
      </c>
      <c r="H112" t="s">
        <v>283</v>
      </c>
      <c r="I112" t="s">
        <v>283</v>
      </c>
      <c r="J112" t="s">
        <v>262</v>
      </c>
      <c r="K112" t="s">
        <v>100</v>
      </c>
      <c r="L112" t="s">
        <v>101</v>
      </c>
      <c r="M112">
        <v>23</v>
      </c>
      <c r="N112" t="s">
        <v>142</v>
      </c>
      <c r="O112" t="s">
        <v>174</v>
      </c>
      <c r="P112" t="s">
        <v>175</v>
      </c>
      <c r="Q112" t="s">
        <v>103</v>
      </c>
      <c r="R112">
        <v>15</v>
      </c>
      <c r="S112" t="s">
        <v>89</v>
      </c>
      <c r="T112" t="s">
        <v>89</v>
      </c>
      <c r="U112" t="s">
        <v>90</v>
      </c>
      <c r="V112" t="s">
        <v>107</v>
      </c>
      <c r="W112">
        <v>60</v>
      </c>
      <c r="X112">
        <v>900</v>
      </c>
      <c r="Y112" t="s">
        <v>149</v>
      </c>
      <c r="Z112">
        <v>352</v>
      </c>
    </row>
    <row r="113" spans="1:26" x14ac:dyDescent="0.3">
      <c r="A113" t="s">
        <v>86</v>
      </c>
      <c r="B113">
        <v>20559</v>
      </c>
      <c r="C113">
        <v>449</v>
      </c>
      <c r="D113" s="1">
        <v>46171</v>
      </c>
      <c r="E113" t="s">
        <v>88</v>
      </c>
      <c r="F113">
        <v>5</v>
      </c>
      <c r="G113" t="s">
        <v>288</v>
      </c>
      <c r="H113" t="s">
        <v>284</v>
      </c>
      <c r="I113" t="s">
        <v>284</v>
      </c>
      <c r="J113" t="s">
        <v>262</v>
      </c>
      <c r="K113" t="s">
        <v>100</v>
      </c>
      <c r="L113" t="s">
        <v>101</v>
      </c>
      <c r="M113">
        <v>23</v>
      </c>
      <c r="N113" t="s">
        <v>142</v>
      </c>
      <c r="O113" t="s">
        <v>174</v>
      </c>
      <c r="P113" t="s">
        <v>175</v>
      </c>
      <c r="Q113" t="s">
        <v>103</v>
      </c>
      <c r="R113">
        <v>15</v>
      </c>
      <c r="S113" t="s">
        <v>89</v>
      </c>
      <c r="T113" t="s">
        <v>89</v>
      </c>
      <c r="U113" t="s">
        <v>90</v>
      </c>
      <c r="V113" t="s">
        <v>107</v>
      </c>
      <c r="W113">
        <v>60</v>
      </c>
      <c r="X113">
        <v>900</v>
      </c>
      <c r="Y113" t="s">
        <v>149</v>
      </c>
      <c r="Z113">
        <v>352</v>
      </c>
    </row>
    <row r="114" spans="1:26" x14ac:dyDescent="0.3">
      <c r="A114" t="s">
        <v>86</v>
      </c>
      <c r="B114">
        <v>20560</v>
      </c>
      <c r="C114">
        <v>449</v>
      </c>
      <c r="D114" s="1">
        <v>46171</v>
      </c>
      <c r="E114" t="s">
        <v>88</v>
      </c>
      <c r="F114">
        <v>5</v>
      </c>
      <c r="G114" t="s">
        <v>288</v>
      </c>
      <c r="H114" t="s">
        <v>285</v>
      </c>
      <c r="I114" t="s">
        <v>285</v>
      </c>
      <c r="J114" t="s">
        <v>262</v>
      </c>
      <c r="K114" t="s">
        <v>100</v>
      </c>
      <c r="L114" t="s">
        <v>101</v>
      </c>
      <c r="M114">
        <v>23</v>
      </c>
      <c r="N114" t="s">
        <v>142</v>
      </c>
      <c r="O114" t="s">
        <v>174</v>
      </c>
      <c r="P114" t="s">
        <v>175</v>
      </c>
      <c r="Q114" t="s">
        <v>103</v>
      </c>
      <c r="R114">
        <v>15</v>
      </c>
      <c r="S114" t="s">
        <v>89</v>
      </c>
      <c r="T114" t="s">
        <v>89</v>
      </c>
      <c r="U114" t="s">
        <v>90</v>
      </c>
      <c r="V114" t="s">
        <v>107</v>
      </c>
      <c r="W114">
        <v>60</v>
      </c>
      <c r="X114">
        <v>900</v>
      </c>
      <c r="Y114" t="s">
        <v>149</v>
      </c>
      <c r="Z114">
        <v>352</v>
      </c>
    </row>
    <row r="115" spans="1:26" x14ac:dyDescent="0.3">
      <c r="A115" t="s">
        <v>86</v>
      </c>
      <c r="B115">
        <v>20561</v>
      </c>
      <c r="C115">
        <v>449</v>
      </c>
      <c r="D115" s="1">
        <v>46171</v>
      </c>
      <c r="E115" t="s">
        <v>88</v>
      </c>
      <c r="F115">
        <v>5</v>
      </c>
      <c r="G115" t="s">
        <v>288</v>
      </c>
      <c r="H115" t="s">
        <v>286</v>
      </c>
      <c r="I115" t="s">
        <v>286</v>
      </c>
      <c r="J115" t="s">
        <v>262</v>
      </c>
      <c r="K115" t="s">
        <v>100</v>
      </c>
      <c r="L115" t="s">
        <v>101</v>
      </c>
      <c r="M115">
        <v>23</v>
      </c>
      <c r="N115" t="s">
        <v>142</v>
      </c>
      <c r="O115" t="s">
        <v>174</v>
      </c>
      <c r="P115" t="s">
        <v>175</v>
      </c>
      <c r="Q115" t="s">
        <v>103</v>
      </c>
      <c r="R115">
        <v>15</v>
      </c>
      <c r="S115" t="s">
        <v>89</v>
      </c>
      <c r="T115" t="s">
        <v>89</v>
      </c>
      <c r="U115" t="s">
        <v>90</v>
      </c>
      <c r="V115" t="s">
        <v>107</v>
      </c>
      <c r="W115">
        <v>41</v>
      </c>
      <c r="X115">
        <v>615</v>
      </c>
      <c r="Y115" t="s">
        <v>149</v>
      </c>
      <c r="Z115">
        <v>352</v>
      </c>
    </row>
    <row r="116" spans="1:26" x14ac:dyDescent="0.3">
      <c r="A116" t="s">
        <v>86</v>
      </c>
      <c r="B116">
        <v>20562</v>
      </c>
      <c r="C116">
        <v>449</v>
      </c>
      <c r="D116" s="1">
        <v>46171</v>
      </c>
      <c r="E116" t="s">
        <v>88</v>
      </c>
      <c r="F116">
        <v>5</v>
      </c>
      <c r="G116" t="s">
        <v>288</v>
      </c>
      <c r="H116" t="s">
        <v>286</v>
      </c>
      <c r="I116" t="s">
        <v>286</v>
      </c>
      <c r="J116" t="s">
        <v>262</v>
      </c>
      <c r="K116" t="s">
        <v>100</v>
      </c>
      <c r="L116" t="s">
        <v>101</v>
      </c>
      <c r="M116">
        <v>23</v>
      </c>
      <c r="N116" t="s">
        <v>142</v>
      </c>
      <c r="O116" t="s">
        <v>174</v>
      </c>
      <c r="P116" t="s">
        <v>175</v>
      </c>
      <c r="Q116" t="s">
        <v>103</v>
      </c>
      <c r="R116">
        <v>15</v>
      </c>
      <c r="S116" t="s">
        <v>89</v>
      </c>
      <c r="T116" t="s">
        <v>89</v>
      </c>
      <c r="U116" t="s">
        <v>90</v>
      </c>
      <c r="V116" t="s">
        <v>107</v>
      </c>
      <c r="W116">
        <v>19</v>
      </c>
      <c r="X116">
        <v>285</v>
      </c>
      <c r="Y116" t="s">
        <v>149</v>
      </c>
      <c r="Z116">
        <v>352</v>
      </c>
    </row>
  </sheetData>
  <autoFilter ref="A1:Z116" xr:uid="{9F96FD2B-329E-44AD-ABFF-1C0A87FE5AD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Analisis Inventario</vt:lpstr>
      <vt:lpstr>VENTA</vt:lpstr>
      <vt:lpstr>COMPRA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Agustín Villela Correa</dc:creator>
  <cp:lastModifiedBy>Maria Jesus Rodriguez</cp:lastModifiedBy>
  <dcterms:created xsi:type="dcterms:W3CDTF">2026-06-09T02:20:49Z</dcterms:created>
  <dcterms:modified xsi:type="dcterms:W3CDTF">2026-06-09T15:25:02Z</dcterms:modified>
</cp:coreProperties>
</file>